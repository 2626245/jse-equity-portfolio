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de19bf7c1dde965a/Documents/"/>
    </mc:Choice>
  </mc:AlternateContent>
  <xr:revisionPtr revIDLastSave="934" documentId="8_{89BAC4C9-FEC7-45F7-A21C-E543614D735A}" xr6:coauthVersionLast="47" xr6:coauthVersionMax="47" xr10:uidLastSave="{04CF5A72-0FF0-4FC2-848B-203978F99EA2}"/>
  <bookViews>
    <workbookView xWindow="-110" yWindow="-110" windowWidth="19420" windowHeight="10300" activeTab="1" xr2:uid="{E50CC138-8B31-4BAA-9967-BD013BDB9F02}"/>
  </bookViews>
  <sheets>
    <sheet name="Finalised Stock Screening" sheetId="3" r:id="rId1"/>
    <sheet name="PSG Wealth" sheetId="16" r:id="rId2"/>
    <sheet name="EXXARO" sheetId="1" r:id="rId3"/>
    <sheet name="Sibanye Still Water" sheetId="4" r:id="rId4"/>
    <sheet name="Harmony Gold" sheetId="5" r:id="rId5"/>
    <sheet name="Northam Platinum " sheetId="6" r:id="rId6"/>
    <sheet name="Anglogold Ashanti PLC" sheetId="15" r:id="rId7"/>
    <sheet name="Impala Platinum" sheetId="14" r:id="rId8"/>
    <sheet name="Astral Foods" sheetId="7" r:id="rId9"/>
    <sheet name="AVI Limited Class Y" sheetId="8" r:id="rId10"/>
    <sheet name="Tiger Brands" sheetId="9" r:id="rId11"/>
    <sheet name="RCL Foods" sheetId="11" r:id="rId12"/>
    <sheet name="Valterra" sheetId="19"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16" l="1"/>
  <c r="F31" i="16"/>
  <c r="E25" i="16"/>
  <c r="E26" i="16"/>
  <c r="E27" i="16"/>
  <c r="E28" i="16"/>
  <c r="B8" i="16"/>
  <c r="M22" i="16"/>
  <c r="M23" i="16"/>
  <c r="M20" i="16"/>
  <c r="M21" i="16"/>
  <c r="E24" i="16"/>
  <c r="B7" i="16"/>
  <c r="B12" i="16"/>
  <c r="B10" i="16"/>
  <c r="B2" i="16"/>
  <c r="B9" i="16"/>
  <c r="B5" i="16"/>
  <c r="L21" i="19"/>
  <c r="L19" i="19"/>
  <c r="L23" i="19"/>
  <c r="K14" i="19"/>
  <c r="K15" i="19"/>
  <c r="K16" i="19"/>
  <c r="K17" i="19"/>
  <c r="J14" i="19"/>
  <c r="J15" i="19"/>
  <c r="J16" i="19"/>
  <c r="J17" i="19"/>
  <c r="B10" i="19"/>
  <c r="O6" i="19"/>
  <c r="O4" i="19"/>
  <c r="O3" i="19"/>
  <c r="O2" i="19"/>
  <c r="K13" i="19"/>
  <c r="L16" i="19"/>
  <c r="O5" i="19"/>
  <c r="B9" i="19"/>
  <c r="B2" i="19"/>
  <c r="B3" i="19"/>
  <c r="B6" i="19"/>
  <c r="B1" i="19"/>
  <c r="F15" i="14"/>
  <c r="F14" i="16"/>
  <c r="E13" i="16"/>
  <c r="E12" i="16"/>
  <c r="F10" i="16"/>
  <c r="E15" i="9"/>
  <c r="E14" i="9"/>
  <c r="E13" i="9"/>
  <c r="E12" i="9"/>
  <c r="E10" i="9"/>
  <c r="B2" i="9"/>
  <c r="E15" i="8"/>
  <c r="E14" i="8"/>
  <c r="E13" i="8"/>
  <c r="E12" i="8"/>
  <c r="E10" i="8"/>
  <c r="B2" i="8"/>
  <c r="E15" i="7"/>
  <c r="E10" i="7"/>
  <c r="E14" i="7"/>
  <c r="E13" i="7"/>
  <c r="E12" i="7"/>
  <c r="B2" i="7"/>
  <c r="F14" i="14"/>
  <c r="F12" i="14"/>
  <c r="F10" i="14"/>
  <c r="E20" i="14"/>
  <c r="E19" i="14"/>
  <c r="E18" i="14"/>
  <c r="B2" i="11"/>
  <c r="B2" i="14"/>
  <c r="E10" i="15"/>
  <c r="E21" i="15"/>
  <c r="F20" i="15"/>
  <c r="G20" i="15"/>
  <c r="G18" i="15"/>
  <c r="F18" i="15"/>
  <c r="G19" i="15"/>
  <c r="F19" i="15"/>
  <c r="E19" i="15"/>
  <c r="E20" i="15" s="1"/>
  <c r="E14" i="15"/>
  <c r="E15" i="15"/>
  <c r="E12" i="15"/>
  <c r="B2" i="15"/>
  <c r="F15" i="6"/>
  <c r="F14" i="6"/>
  <c r="F12" i="6"/>
  <c r="F10" i="6"/>
  <c r="F19" i="6"/>
  <c r="F13" i="5"/>
  <c r="F12" i="5"/>
  <c r="F11" i="5"/>
  <c r="F9" i="5"/>
  <c r="D20" i="5"/>
  <c r="G17" i="4"/>
  <c r="G16" i="4"/>
  <c r="E23" i="4"/>
  <c r="F23" i="4"/>
  <c r="D23" i="4"/>
  <c r="D18" i="4"/>
  <c r="G11" i="4"/>
  <c r="B3" i="4"/>
  <c r="B11" i="4"/>
  <c r="B7" i="4"/>
  <c r="G17" i="1"/>
  <c r="G10" i="1"/>
  <c r="G9" i="1"/>
  <c r="B12" i="1"/>
  <c r="K7" i="1"/>
  <c r="E7" i="1"/>
  <c r="E6" i="1"/>
  <c r="E5" i="1"/>
  <c r="E4" i="1"/>
  <c r="E3" i="1"/>
  <c r="B8" i="1"/>
  <c r="F6" i="1" s="1"/>
  <c r="M25" i="16" l="1"/>
  <c r="B3" i="16"/>
  <c r="B6" i="16"/>
  <c r="L17" i="19"/>
  <c r="O7" i="19"/>
  <c r="F4" i="1"/>
  <c r="F5" i="1"/>
  <c r="G4" i="1"/>
  <c r="G5" i="1"/>
  <c r="G6" i="1"/>
  <c r="G11" i="1"/>
  <c r="F3" i="1"/>
  <c r="G3" i="1" s="1"/>
  <c r="F7" i="1"/>
  <c r="G7" i="1"/>
  <c r="F28" i="16" l="1"/>
  <c r="G28" i="16" s="1"/>
  <c r="F32" i="16"/>
  <c r="F33" i="16" s="1"/>
  <c r="F25" i="16"/>
  <c r="G25" i="16" s="1"/>
  <c r="F26" i="16"/>
  <c r="G26" i="16" s="1"/>
  <c r="F24" i="16"/>
  <c r="G24" i="16" s="1"/>
  <c r="F27" i="16"/>
  <c r="G27" i="16" s="1"/>
  <c r="L14" i="19"/>
  <c r="J13" i="19"/>
  <c r="L13" i="19" s="1"/>
  <c r="G13" i="1"/>
  <c r="G14" i="1" s="1"/>
  <c r="G15" i="1" s="1"/>
  <c r="G16" i="1" s="1"/>
  <c r="F35" i="16" l="1"/>
  <c r="F36" i="16" s="1"/>
  <c r="F37" i="16" s="1"/>
  <c r="E41" i="16" s="1"/>
  <c r="L20" i="19"/>
  <c r="L15" i="19"/>
  <c r="L24" i="19" s="1"/>
  <c r="L25" i="19" s="1"/>
  <c r="F38" i="16" l="1"/>
  <c r="L27" i="19"/>
  <c r="L26" i="19"/>
</calcChain>
</file>

<file path=xl/sharedStrings.xml><?xml version="1.0" encoding="utf-8"?>
<sst xmlns="http://schemas.openxmlformats.org/spreadsheetml/2006/main" count="516" uniqueCount="271">
  <si>
    <t>Ticker</t>
  </si>
  <si>
    <t>EXX</t>
  </si>
  <si>
    <t>Share Price</t>
  </si>
  <si>
    <t>Risk free rate</t>
  </si>
  <si>
    <t>Beta</t>
  </si>
  <si>
    <t>ERP</t>
  </si>
  <si>
    <t>Re</t>
  </si>
  <si>
    <t>Rm</t>
  </si>
  <si>
    <t>MarketCap</t>
  </si>
  <si>
    <t>Shares</t>
  </si>
  <si>
    <t>g</t>
  </si>
  <si>
    <t>FCFo</t>
  </si>
  <si>
    <t>Year</t>
  </si>
  <si>
    <t>FCF Forecast</t>
  </si>
  <si>
    <t>DCF Table Forecast(Year 1 to 5)</t>
  </si>
  <si>
    <t>Discount Factor</t>
  </si>
  <si>
    <t>PV of FCF</t>
  </si>
  <si>
    <t>FCF6</t>
  </si>
  <si>
    <t>Terminal Value</t>
  </si>
  <si>
    <t>PV of Terminal Value</t>
  </si>
  <si>
    <t>PV of 5Y Cash Flow</t>
  </si>
  <si>
    <t>Intrinsic Equity Value</t>
  </si>
  <si>
    <t>Intrinsic Value Per Share</t>
  </si>
  <si>
    <t>Upside %</t>
  </si>
  <si>
    <t>ROE</t>
  </si>
  <si>
    <t>Valuation</t>
  </si>
  <si>
    <t>Net Income</t>
  </si>
  <si>
    <t>correct calculation of the FCFE</t>
  </si>
  <si>
    <t>Depreciation</t>
  </si>
  <si>
    <t>Change in working Capital</t>
  </si>
  <si>
    <t>Capex</t>
  </si>
  <si>
    <t>Net Borrowing</t>
  </si>
  <si>
    <t>FCFE</t>
  </si>
  <si>
    <t>Tickers</t>
  </si>
  <si>
    <t>Name of the stock</t>
  </si>
  <si>
    <t>Outcome</t>
  </si>
  <si>
    <t>Exxaro</t>
  </si>
  <si>
    <t>Undervalued</t>
  </si>
  <si>
    <t>Interest Expense</t>
  </si>
  <si>
    <t>EPS</t>
  </si>
  <si>
    <t>Revenue Growth</t>
  </si>
  <si>
    <t>Best Stock</t>
  </si>
  <si>
    <t>Profitability</t>
  </si>
  <si>
    <t>Ratio Analysis from 2021 to 2025</t>
  </si>
  <si>
    <t xml:space="preserve">Liquidity </t>
  </si>
  <si>
    <t xml:space="preserve">Solvency </t>
  </si>
  <si>
    <t>Book Value to Market Ratio</t>
  </si>
  <si>
    <t>SSW</t>
  </si>
  <si>
    <t>market cap</t>
  </si>
  <si>
    <t>Ratio Analysis</t>
  </si>
  <si>
    <t xml:space="preserve">Profitablity </t>
  </si>
  <si>
    <t xml:space="preserve">Gross Margin </t>
  </si>
  <si>
    <t>Not a greate sign even though there is a siginificant improvement from last year's ROE</t>
  </si>
  <si>
    <t xml:space="preserve">A great improvement </t>
  </si>
  <si>
    <t>Current Ratio</t>
  </si>
  <si>
    <t>A great sign of the company's health as it rivals the company's year long ratio</t>
  </si>
  <si>
    <t>Solvency</t>
  </si>
  <si>
    <t>Interest Coverage</t>
  </si>
  <si>
    <t>Debt/Equity ratio</t>
  </si>
  <si>
    <t>Cashflow</t>
  </si>
  <si>
    <t>Book to Value Ratio</t>
  </si>
  <si>
    <t>P/E Ratio</t>
  </si>
  <si>
    <t>This is the all time high that means the comnpany is more debt reliance it could signify growth</t>
  </si>
  <si>
    <t>EBIT</t>
  </si>
  <si>
    <t>Intrest Expense</t>
  </si>
  <si>
    <t>2025 Interest Coverage</t>
  </si>
  <si>
    <t>Last Three year Interest Coverage</t>
  </si>
  <si>
    <t>The Interes Coverage seems to be high it may signal a finacial risk</t>
  </si>
  <si>
    <t>A positive cash flow at the moment as compared to last year of negative cash flow</t>
  </si>
  <si>
    <t>So that’s the estimate but as for the company they seem to always beat the estimates when it comes to revenue and there is some fluctuation to the growth but they seem to meet the analyst bench marks</t>
  </si>
  <si>
    <t>The company lost money during the period</t>
  </si>
  <si>
    <t xml:space="preserve">Book to Value Ratio </t>
  </si>
  <si>
    <t>Book value per share</t>
  </si>
  <si>
    <t>The company is operating at a loss</t>
  </si>
  <si>
    <t>The outcome</t>
  </si>
  <si>
    <t>Trading above book value so it makes it a premium so it shows grows</t>
  </si>
  <si>
    <t>Not the best according to the fundamentals so I will not look at it</t>
  </si>
  <si>
    <t xml:space="preserve">Ticker </t>
  </si>
  <si>
    <t>HAR</t>
  </si>
  <si>
    <t>Gross Margins</t>
  </si>
  <si>
    <t>Liquidatio</t>
  </si>
  <si>
    <t xml:space="preserve">Solevency </t>
  </si>
  <si>
    <t>Debt/equity</t>
  </si>
  <si>
    <t>P/E</t>
  </si>
  <si>
    <t>Cash Flow Realization</t>
  </si>
  <si>
    <t>ROIC</t>
  </si>
  <si>
    <t>This is the all time high on the company so it operates on profits and there is equity to investors</t>
  </si>
  <si>
    <t>The all time high and shows great signs of mantaining operating cost</t>
  </si>
  <si>
    <t>Thisshows that there is a great effeicency on allocating capital</t>
  </si>
  <si>
    <t>Seems to be pretty solid and shows great signs of great health</t>
  </si>
  <si>
    <t>Interst coverage</t>
  </si>
  <si>
    <t xml:space="preserve">Not relient to debt that much and shows no financial risk </t>
  </si>
  <si>
    <t>This shows that company can cover its interests</t>
  </si>
  <si>
    <t xml:space="preserve">High EPS shows rising profits </t>
  </si>
  <si>
    <t>This shows the company is premium and there is growth as it is trading above book value</t>
  </si>
  <si>
    <t>A high P/E shows the company is operating on a profit and the investors expect high growth</t>
  </si>
  <si>
    <t>This shows that 75 percent of the company earnings are converted as free cash flows and the free cash flows is currently ar 10.79B</t>
  </si>
  <si>
    <t>73.90B</t>
  </si>
  <si>
    <t>Though the always fall short to their estimated revenues by a small margin  as the estimated was 76.16B</t>
  </si>
  <si>
    <t>Harmony Gold</t>
  </si>
  <si>
    <t>Sibanye Still Water</t>
  </si>
  <si>
    <t>Not Best</t>
  </si>
  <si>
    <t>Northam Platinum</t>
  </si>
  <si>
    <t>NPH</t>
  </si>
  <si>
    <t>Gross Margin</t>
  </si>
  <si>
    <t>Liquidation</t>
  </si>
  <si>
    <t>Curren Ratio</t>
  </si>
  <si>
    <t>Debt/Equity Ratio</t>
  </si>
  <si>
    <t>Reveneu Growth</t>
  </si>
  <si>
    <t>Free Cash Flow Realization</t>
  </si>
  <si>
    <t>P/E ratio</t>
  </si>
  <si>
    <t>Return on equity is decreasing so it is a major concern</t>
  </si>
  <si>
    <t>The efficency to allocate capital keeps on decreasing like the ROE</t>
  </si>
  <si>
    <t>Decent show of maintaing operating cost</t>
  </si>
  <si>
    <t>A solid showcase of the company's health</t>
  </si>
  <si>
    <t>Ebit</t>
  </si>
  <si>
    <t>Relies less on debt and almost to the all time low</t>
  </si>
  <si>
    <t>Shows adequate coverage of interest on debt though there are no signs of financial risk</t>
  </si>
  <si>
    <t>Shows adequate profit but there is major decrease of EPS each year seems as a major concern also</t>
  </si>
  <si>
    <t>Shows that the stock is premium and there is growth but the concern is the decrease in profitability except for the gross margin which bounced back</t>
  </si>
  <si>
    <t>Shows poor conversions as the cash flows where negatibe 1.56B this is a major red flag</t>
  </si>
  <si>
    <t>Though there is a high expectation from investors for growth</t>
  </si>
  <si>
    <t>32.90B</t>
  </si>
  <si>
    <t xml:space="preserve">There is a slight fall short of margin to meet the analyst estimate which was 33.01B though the results are decent </t>
  </si>
  <si>
    <t>Not the Best</t>
  </si>
  <si>
    <t>Anglogold Ashanti PLC</t>
  </si>
  <si>
    <t>ANG</t>
  </si>
  <si>
    <t>Impal Platinum</t>
  </si>
  <si>
    <t>IMP</t>
  </si>
  <si>
    <t xml:space="preserve">Share Price </t>
  </si>
  <si>
    <t>Dept/Equity Ratio</t>
  </si>
  <si>
    <t>Growth Revenue</t>
  </si>
  <si>
    <t>This shows a great improvement and rivals the all time high which shows there is an improvent on the allocation of capital though that is the 2024 number as the current ratio is not available</t>
  </si>
  <si>
    <t xml:space="preserve">All time high for the company it shows that they can maintain operating cost </t>
  </si>
  <si>
    <t>Show a great sign of good health as it rivals the all time high so it seems to be solid</t>
  </si>
  <si>
    <t>The decrease in debt equity ratio shows a great signal of good financial health as well as the reliance of debt kept decreasing</t>
  </si>
  <si>
    <t>A premium stock shows a signs of growth as we can see that the bounce from 2023 profitability indicates the case as the stock is currently trading above book value</t>
  </si>
  <si>
    <t>166.81B</t>
  </si>
  <si>
    <t>Though we don’t have the reported value for the 2025 that is the estimate value however what I can conclude is that there is a rapid growth on the reported revenue even though they fall short to the analyste value by less than 4 percent .This would be an indication why there are profitability signals</t>
  </si>
  <si>
    <t xml:space="preserve">Shows the company is operating in profit although it is a rough estimate obtained from adding up all the EPS from Q1 till Q3 </t>
  </si>
  <si>
    <t>A very high P/E ratio which shows that investors are expecting high growth of the stock</t>
  </si>
  <si>
    <t>The best stock</t>
  </si>
  <si>
    <t xml:space="preserve">Currently there is no data for the current ROE so I am using a rough estimate from adding up ROE from Q1 till Q3 so it is a rough estimate, also the 2024 ROE was 19.42 which is a sharp increase in the ROE from 2023 where the company was operating on a loss shows a significant improvement </t>
  </si>
  <si>
    <t>Though it is a rough estimate obtained from adding the cash flows obtained on this quarters from Q1 till Q3 which we can see an excellent conversion of net income to free cash flow.</t>
  </si>
  <si>
    <t>Interest Coverage per Quarter</t>
  </si>
  <si>
    <t>Q1</t>
  </si>
  <si>
    <t>Q2</t>
  </si>
  <si>
    <t>Q3</t>
  </si>
  <si>
    <t>Total</t>
  </si>
  <si>
    <t xml:space="preserve">Though it is a rough estimate obtained from adding up the interest coverage for the whole year to get a rough estimate of the interest covered which shows a very strong interest coverage which confirms the reduction of the use of debt </t>
  </si>
  <si>
    <t xml:space="preserve">Profitability </t>
  </si>
  <si>
    <t>Currrent Ratio</t>
  </si>
  <si>
    <t>Debt/equity Ratio</t>
  </si>
  <si>
    <t>Free Cash Flow Realisation</t>
  </si>
  <si>
    <t>‪0.83‬</t>
  </si>
  <si>
    <t>A low ROE even though it shows a bounce back but for a mining company in the PGM's it is under a low average 10 percent . Though it shows signs of growth as the ROE was plunging up untill it was negative in 2024 and now bounced back to 0.83 still small but not that attractive</t>
  </si>
  <si>
    <t>0.82‬</t>
  </si>
  <si>
    <t>This shows improvement of reallocation of capital from the previous year of negative still not convincing</t>
  </si>
  <si>
    <t>‪0.72‬</t>
  </si>
  <si>
    <t>A dercrease in the gross margin annually shows that the company is struggling in mantaining operating cost thus this shows that the company's profitability is declining</t>
  </si>
  <si>
    <t>‪2.74‬</t>
  </si>
  <si>
    <t>Pretty solid as it shows that company's health is stable</t>
  </si>
  <si>
    <t xml:space="preserve">This is low reliance to debt as there was no change even from 2024 it was the same however from the previous years it shows that it increase from  0.01 to 0.04 from 2022 till 2025 though the increase but shows no financial risk </t>
  </si>
  <si>
    <t>Interest Coverage\</t>
  </si>
  <si>
    <t>A low interest coverage this shows that there is financial risk as it is low which shows the reason why there was no increase in the use of debt from the previous year this could be tha the company is struggling to cover their interest</t>
  </si>
  <si>
    <t>‪0.85‬</t>
  </si>
  <si>
    <t>A very low EPS shows that the company is operating in profit but at a low though they managed to bounce from the negatve the company had last year and the decrease of EPS from the previous years shows that the company was losing money</t>
  </si>
  <si>
    <t>Still a premium stock shows that it is trading above book value could be that the stocks is overvalued</t>
  </si>
  <si>
    <t xml:space="preserve">There is a strong coversion of income into free cash flow though the previous free cash flow was negative this could be the case why this year they plunged a lot of the earnings to free cash flow </t>
  </si>
  <si>
    <t>There is a high growth expection from the investors which could be a reason why most of the bounce backs.</t>
  </si>
  <si>
    <t>Moderate best stock (watch list stock)</t>
  </si>
  <si>
    <t>Moderate</t>
  </si>
  <si>
    <t>85.46B</t>
  </si>
  <si>
    <t>There is decline in the revenue and the difference between the analyst estimates and the reported is a small margin to a point that is less than 4 percent</t>
  </si>
  <si>
    <t>Watchlist</t>
  </si>
  <si>
    <t>Astral Foods Limited</t>
  </si>
  <si>
    <t>ARL</t>
  </si>
  <si>
    <t>AVI Limited Class Y</t>
  </si>
  <si>
    <t>AVI</t>
  </si>
  <si>
    <t>RCL Foods Limited</t>
  </si>
  <si>
    <t>RCL</t>
  </si>
  <si>
    <t>Tiger Brands Limited</t>
  </si>
  <si>
    <t>TBS</t>
  </si>
  <si>
    <t>‪17.31‬</t>
  </si>
  <si>
    <t>This shows a good return on equity and in the range of the industry ROE</t>
  </si>
  <si>
    <t>‪16.76‬</t>
  </si>
  <si>
    <t>Show great allocation of capital especially bouncing back from the negative in 2023 to rival the company's all time high</t>
  </si>
  <si>
    <t>19.70‬</t>
  </si>
  <si>
    <t>A steady increase after the low in 2023 to bounce back to almost the company's all time high</t>
  </si>
  <si>
    <t>‪2.09‬</t>
  </si>
  <si>
    <t xml:space="preserve">Solid and decent as it shows great improvement to the company's health </t>
  </si>
  <si>
    <t>‪0.06‬</t>
  </si>
  <si>
    <t>There is a slight increase in the reliance of debt though though it doesn’t signale finacial risk</t>
  </si>
  <si>
    <t>There is a strong interest interest coverage thus confirming no financial risk</t>
  </si>
  <si>
    <t>The increase EPS shows a great odeal of the company operating in profitability</t>
  </si>
  <si>
    <t>a premium stock that is trading above the book value</t>
  </si>
  <si>
    <t xml:space="preserve">The is 42 % in revenue from the last 5 years till now which shows great signs and the reported revenue outperform the anayst estimate that the current repoted is 22.62B and the estimate is 21.53B .Though the 2023 the company failed to meet the estimate and they fell short by 11% but from that year the company started perfoming well </t>
  </si>
  <si>
    <t xml:space="preserve">An excellent earning conversion this really solidifies the increase in free cash flow from 2023 where it was negative to almost double as it is currently 1.35B and the post 2023 outperforms the pre 2023 by almost 2x </t>
  </si>
  <si>
    <t>A stable growth intuition from the investors</t>
  </si>
  <si>
    <t>‪43.65‬</t>
  </si>
  <si>
    <t xml:space="preserve">This shows great ROE </t>
  </si>
  <si>
    <t>‪40.65‬</t>
  </si>
  <si>
    <t xml:space="preserve">This shows great and high  profits generated from the investments that the company allocates the capital.This shows overall excellent efficiency </t>
  </si>
  <si>
    <t>‪42.26‬</t>
  </si>
  <si>
    <t xml:space="preserve">This show great mantaince of operating cost </t>
  </si>
  <si>
    <t>‪1.39‬</t>
  </si>
  <si>
    <t>This is a decent company health</t>
  </si>
  <si>
    <t>‪0.48</t>
  </si>
  <si>
    <t>The sudden increase in the ratio is due to the fact of an increase in the use of debt though it doesn’t show any finacial risk</t>
  </si>
  <si>
    <t>Though the increase in the use of debt the company shows very signs of interest coverage which still confirms the company is not at financial risk</t>
  </si>
  <si>
    <t>‪7.32‬</t>
  </si>
  <si>
    <t xml:space="preserve">Confirms that the company is operating in profit and the annual increase in the EPS shows great signs of profitability  </t>
  </si>
  <si>
    <t>a premium stock and it trading above the book value which indicates great sign of pontential growth</t>
  </si>
  <si>
    <t xml:space="preserve">Shows great growth rate from the last 5 years and the steady increase of the revenues shows great signs of profitability. The company normally outperform the analyst estimates although as currently the reported revenue is 16.02B and the estimate is 16.59B though there is a less margin different but overall great signs of growth </t>
  </si>
  <si>
    <t xml:space="preserve">The suddent increase in the free cash flow shows that the company converts 93 % of the net income into free cash flow which is major green flag </t>
  </si>
  <si>
    <t xml:space="preserve">The is a high P/E ratio which shows the investors are expecting high growth </t>
  </si>
  <si>
    <t xml:space="preserve">Best Stock </t>
  </si>
  <si>
    <t>‪23.22</t>
  </si>
  <si>
    <t>A great ROE for a retail industry and rivals the all time high</t>
  </si>
  <si>
    <t>22.87‬</t>
  </si>
  <si>
    <t>This shows the profits the company generates for effeicnetly allocating capital for the investemts that they make which is excellent</t>
  </si>
  <si>
    <t>33.31‬</t>
  </si>
  <si>
    <t>This all time high shows that they can maintain operating cost and the company is showing signs of profitability</t>
  </si>
  <si>
    <t>1.75‬</t>
  </si>
  <si>
    <t>A decent and solid company's health</t>
  </si>
  <si>
    <t>‪0.02‬</t>
  </si>
  <si>
    <t>The decrease in debt shows why there was a decrease in debt and less reliance of debt thus this shows no financial risk but great financial health</t>
  </si>
  <si>
    <t>The interest coverage is very strong and confirms the company's health to be more excellent</t>
  </si>
  <si>
    <t>The increase of EPS annualy shows that the company is operating in profit and shows great profitability</t>
  </si>
  <si>
    <t xml:space="preserve">A premium stock which signals growth </t>
  </si>
  <si>
    <t>From the last 5 years the growth revenue is 11 % and the company currently has a revenue of 34.39B</t>
  </si>
  <si>
    <t>Excellent convertion of net incomes to free cash flow and the increase in the free cash flow shows great sign of growth</t>
  </si>
  <si>
    <t>Greate P/E ratio this shows great expectation from investors for growth</t>
  </si>
  <si>
    <t>Underperfoming no need to look at the fundamentals, it is also showing weak growth</t>
  </si>
  <si>
    <t>KST</t>
  </si>
  <si>
    <t>‪29.05‬</t>
  </si>
  <si>
    <t xml:space="preserve">A consistence increase in ROE </t>
  </si>
  <si>
    <t>‪27.71‬</t>
  </si>
  <si>
    <t>A n alltime high which shows that the investemt allocation on the capital was efficient</t>
  </si>
  <si>
    <t>‪53.45‬</t>
  </si>
  <si>
    <t>Which shows great mantaince of profit margins and the bounce from 2023 which was low but greater than 40 which shows great value and consistent profitability</t>
  </si>
  <si>
    <t>0.05‬</t>
  </si>
  <si>
    <t>pretty low and shows no signs of financial risk</t>
  </si>
  <si>
    <t>This shows strong interest coverage and can confirm the company is not showingany signs of financial risks.Greate financial health</t>
  </si>
  <si>
    <t>‪1.15‬</t>
  </si>
  <si>
    <t>Though low EPS but a great demonstration of growth of EPS  and highlights that the company is operating on profit</t>
  </si>
  <si>
    <t>a premium stock</t>
  </si>
  <si>
    <t>A very high P/E ratio which constitutes to the profitability and growth expectation from the investors</t>
  </si>
  <si>
    <t>There is 27% revenue growth from 2020 to 2024 since there is no data for 2025 yet released but this confirms the growth and profitability of the company</t>
  </si>
  <si>
    <t>A massive conversion</t>
  </si>
  <si>
    <t>PSG Wealth</t>
  </si>
  <si>
    <t>Debt/Equity</t>
  </si>
  <si>
    <t>Divident Yield</t>
  </si>
  <si>
    <t>Book to Market</t>
  </si>
  <si>
    <t>NAV</t>
  </si>
  <si>
    <t>Cash flow realization</t>
  </si>
  <si>
    <t>FCFE_0</t>
  </si>
  <si>
    <t>Terminal_g</t>
  </si>
  <si>
    <t>Market Cap</t>
  </si>
  <si>
    <t>beta</t>
  </si>
  <si>
    <t>Divident payout ratio</t>
  </si>
  <si>
    <t>formula is total dividents found on the cash flow statement under financing activities divided by net income</t>
  </si>
  <si>
    <t>Calculation for the FCFE</t>
  </si>
  <si>
    <t>CAPEX</t>
  </si>
  <si>
    <t>FCFE FORECAST</t>
  </si>
  <si>
    <t>Discount factor</t>
  </si>
  <si>
    <t>PV of FCFE</t>
  </si>
  <si>
    <t>FCFE_6</t>
  </si>
  <si>
    <t>PV of terminal value</t>
  </si>
  <si>
    <t>Instric Value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</si>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</sst>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3" x14ac:knownFonts="1">
    <font>
      <sz val="11"/>
      <color theme="1"/>
      <name val="Aptos Narrow"/>
      <family val="2"/>
      <scheme val="minor"/>
    </font>
    <font>
      <sz val="11"/>
      <color theme="1"/>
      <name val="Aptos Narrow"/>
      <family val="2"/>
      <scheme val="minor"/>
    </font>
    <font>
      <sz val="11"/>
      <color rgb="FF000000"/>
      <name val="Arial"/>
      <family val="2"/>
    </font>
  </fonts>
  <fills count="6">
    <fill>
      <patternFill patternType="none"/>
    </fill>
    <fill>
      <patternFill patternType="gray125"/>
    </fill>
    <fill>
      <patternFill patternType="solid">
        <fgColor theme="9"/>
        <bgColor indexed="64"/>
      </patternFill>
    </fill>
    <fill>
      <patternFill patternType="solid">
        <fgColor rgb="FFC00000"/>
        <bgColor indexed="64"/>
      </patternFill>
    </fill>
    <fill>
      <patternFill patternType="solid">
        <fgColor rgb="FFFFC000"/>
        <bgColor indexed="64"/>
      </patternFill>
    </fill>
    <fill>
      <patternFill patternType="solid">
        <fgColor theme="7" tint="0.39997558519241921"/>
        <bgColor indexed="64"/>
      </patternFill>
    </fill>
  </fills>
  <borders count="2">
    <border>
      <left/>
      <right/>
      <top/>
      <bottom/>
      <diagonal/>
    </border>
    <border>
      <left/>
      <right/>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2">
    <xf numFmtId="0" fontId="0" fillId="0" borderId="0" xfId="0"/>
    <xf numFmtId="43" fontId="0" fillId="0" borderId="0" xfId="1" applyFont="1"/>
    <xf numFmtId="43" fontId="0" fillId="0" borderId="0" xfId="0" applyNumberFormat="1"/>
    <xf numFmtId="9" fontId="0" fillId="0" borderId="0" xfId="2" applyFont="1"/>
    <xf numFmtId="0" fontId="0" fillId="0" borderId="0" xfId="0" applyAlignment="1">
      <alignment wrapText="1"/>
    </xf>
    <xf numFmtId="0" fontId="2" fillId="0" borderId="0" xfId="0" applyFont="1" applyAlignment="1">
      <alignment vertical="center"/>
    </xf>
    <xf numFmtId="10" fontId="0" fillId="0" borderId="0" xfId="0" applyNumberFormat="1"/>
    <xf numFmtId="10" fontId="0" fillId="0" borderId="1" xfId="0" applyNumberFormat="1" applyBorder="1"/>
    <xf numFmtId="0" fontId="0" fillId="2" borderId="0" xfId="0" applyFill="1"/>
    <xf numFmtId="0" fontId="0" fillId="3" borderId="0" xfId="0" applyFill="1"/>
    <xf numFmtId="0" fontId="0" fillId="4" borderId="0" xfId="0" applyFill="1"/>
    <xf numFmtId="0" fontId="0" fillId="5" borderId="0" xfId="0" applyFill="1"/>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1AD94-05D9-43A2-A1E2-FDF00CC176B4}">
  <dimension ref="A1:L12"/>
  <sheetViews>
    <sheetView workbookViewId="0">
      <selection activeCell="D7" sqref="D7"/>
    </sheetView>
  </sheetViews>
  <sheetFormatPr defaultRowHeight="14.5" x14ac:dyDescent="0.35"/>
  <sheetData>
    <row r="1" spans="1:12" x14ac:dyDescent="0.35">
      <c r="A1" t="s">
        <v>33</v>
      </c>
      <c r="B1" t="s">
        <v>34</v>
      </c>
      <c r="C1" t="s">
        <v>25</v>
      </c>
      <c r="D1" t="s">
        <v>35</v>
      </c>
      <c r="I1" s="4"/>
      <c r="J1" s="5"/>
      <c r="L1" s="5"/>
    </row>
    <row r="2" spans="1:12" x14ac:dyDescent="0.35">
      <c r="A2" t="s">
        <v>1</v>
      </c>
      <c r="B2" t="s">
        <v>36</v>
      </c>
      <c r="C2" t="s">
        <v>37</v>
      </c>
      <c r="D2" s="8" t="s">
        <v>41</v>
      </c>
    </row>
    <row r="3" spans="1:12" x14ac:dyDescent="0.35">
      <c r="A3" t="s">
        <v>78</v>
      </c>
      <c r="B3" t="s">
        <v>99</v>
      </c>
      <c r="D3" s="8" t="s">
        <v>41</v>
      </c>
    </row>
    <row r="4" spans="1:12" x14ac:dyDescent="0.35">
      <c r="A4" t="s">
        <v>47</v>
      </c>
      <c r="B4" t="s">
        <v>100</v>
      </c>
      <c r="D4" s="9" t="s">
        <v>101</v>
      </c>
    </row>
    <row r="5" spans="1:12" x14ac:dyDescent="0.35">
      <c r="A5" s="5" t="s">
        <v>103</v>
      </c>
      <c r="B5" t="s">
        <v>102</v>
      </c>
      <c r="D5" s="9" t="s">
        <v>101</v>
      </c>
    </row>
    <row r="6" spans="1:12" x14ac:dyDescent="0.35">
      <c r="A6" t="s">
        <v>126</v>
      </c>
      <c r="B6" t="s">
        <v>125</v>
      </c>
      <c r="D6" s="8" t="s">
        <v>41</v>
      </c>
    </row>
    <row r="7" spans="1:12" x14ac:dyDescent="0.35">
      <c r="A7" t="s">
        <v>128</v>
      </c>
      <c r="B7" t="s">
        <v>127</v>
      </c>
      <c r="D7" s="10" t="s">
        <v>171</v>
      </c>
      <c r="E7" t="s">
        <v>174</v>
      </c>
    </row>
    <row r="8" spans="1:12" x14ac:dyDescent="0.35">
      <c r="A8" t="s">
        <v>176</v>
      </c>
      <c r="B8" t="s">
        <v>175</v>
      </c>
      <c r="D8" s="8" t="s">
        <v>41</v>
      </c>
    </row>
    <row r="9" spans="1:12" x14ac:dyDescent="0.35">
      <c r="A9" t="s">
        <v>178</v>
      </c>
      <c r="B9" t="s">
        <v>177</v>
      </c>
      <c r="D9" s="8" t="s">
        <v>41</v>
      </c>
    </row>
    <row r="10" spans="1:12" x14ac:dyDescent="0.35">
      <c r="A10" t="s">
        <v>180</v>
      </c>
      <c r="B10" t="s">
        <v>179</v>
      </c>
      <c r="D10" s="9" t="s">
        <v>101</v>
      </c>
    </row>
    <row r="11" spans="1:12" x14ac:dyDescent="0.35">
      <c r="A11" t="s">
        <v>182</v>
      </c>
      <c r="B11" t="s">
        <v>181</v>
      </c>
      <c r="D11" s="8" t="s">
        <v>41</v>
      </c>
    </row>
    <row r="12" spans="1:12" x14ac:dyDescent="0.35">
      <c r="A12" t="s">
        <v>234</v>
      </c>
      <c r="B12" t="s">
        <v>250</v>
      </c>
      <c r="D12" s="8" t="s">
        <v>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119BA-D0A5-4755-A8F8-6880DC1F86E1}">
  <dimension ref="A1:M41"/>
  <sheetViews>
    <sheetView tabSelected="1" topLeftCell="A4" workbookViewId="0">
      <selection activeCell="B5" sqref="B5"/>
    </sheetView>
  </sheetViews>
  <sheetFormatPr defaultRowHeight="14.5" x14ac:dyDescent="0.35"/>
  <cols>
    <col min="2" max="2" width="22.6328125" bestFit="1" customWidth="1"/>
    <col min="6" max="6" width="11.81640625" bestFit="1" customWidth="1"/>
    <col min="13" max="13" width="10.81640625" bestFit="1" customWidth="1"/>
  </cols>
  <sheetData>
    <row r="1" spans="1:7" x14ac:dyDescent="0.35">
      <c r="A1" t="s">
        <v>77</v>
      </c>
      <c r="B1" t="s">
        <v>234</v>
      </c>
      <c r="D1" t="s">
        <v>49</v>
      </c>
    </row>
    <row r="2" spans="1:7" x14ac:dyDescent="0.35">
      <c r="A2" t="s">
        <v>2</v>
      </c>
      <c r="B2">
        <f>2688/100</f>
        <v>26.88</v>
      </c>
      <c r="D2" t="s">
        <v>150</v>
      </c>
    </row>
    <row r="3" spans="1:7" x14ac:dyDescent="0.35">
      <c r="A3" t="s">
        <v>9</v>
      </c>
      <c r="B3">
        <f>B10/B2</f>
        <v>1236979166.6666667</v>
      </c>
      <c r="D3" t="s">
        <v>24</v>
      </c>
      <c r="E3" t="s">
        <v>235</v>
      </c>
      <c r="F3" t="s">
        <v>236</v>
      </c>
    </row>
    <row r="4" spans="1:7" x14ac:dyDescent="0.35">
      <c r="A4" t="s">
        <v>3</v>
      </c>
      <c r="B4">
        <f>8.74/100</f>
        <v>8.7400000000000005E-2</v>
      </c>
      <c r="D4" t="s">
        <v>85</v>
      </c>
      <c r="E4" t="s">
        <v>237</v>
      </c>
      <c r="F4" t="s">
        <v>238</v>
      </c>
    </row>
    <row r="5" spans="1:7" x14ac:dyDescent="0.35">
      <c r="A5" t="s">
        <v>5</v>
      </c>
      <c r="B5">
        <f>8.13/100</f>
        <v>8.1300000000000011E-2</v>
      </c>
      <c r="D5" t="s">
        <v>104</v>
      </c>
      <c r="E5" t="s">
        <v>239</v>
      </c>
      <c r="F5" t="s">
        <v>240</v>
      </c>
    </row>
    <row r="6" spans="1:7" x14ac:dyDescent="0.35">
      <c r="A6" t="s">
        <v>6</v>
      </c>
      <c r="B6">
        <f>B4+B11*B5</f>
        <v>0.13292800000000002</v>
      </c>
      <c r="D6" t="s">
        <v>105</v>
      </c>
    </row>
    <row r="7" spans="1:7" x14ac:dyDescent="0.35">
      <c r="A7" t="s">
        <v>10</v>
      </c>
      <c r="B7">
        <f>(1-B12)*(29.05/100)</f>
        <v>0.16246010763888888</v>
      </c>
      <c r="D7" t="s">
        <v>151</v>
      </c>
    </row>
    <row r="8" spans="1:7" x14ac:dyDescent="0.35">
      <c r="A8" t="s">
        <v>256</v>
      </c>
      <c r="B8">
        <f>$M$25</f>
        <v>1538879187</v>
      </c>
      <c r="D8" t="s">
        <v>56</v>
      </c>
    </row>
    <row r="9" spans="1:7" x14ac:dyDescent="0.35">
      <c r="A9" t="s">
        <v>257</v>
      </c>
      <c r="B9">
        <f>4.6/100</f>
        <v>4.5999999999999999E-2</v>
      </c>
      <c r="D9" t="s">
        <v>152</v>
      </c>
      <c r="E9" t="s">
        <v>241</v>
      </c>
      <c r="F9" t="s">
        <v>242</v>
      </c>
    </row>
    <row r="10" spans="1:7" x14ac:dyDescent="0.35">
      <c r="A10" t="s">
        <v>258</v>
      </c>
      <c r="B10">
        <f>33.25*10^9</f>
        <v>33250000000</v>
      </c>
      <c r="D10" t="s">
        <v>57</v>
      </c>
      <c r="F10">
        <f>(2.22*10^9)/(67.45*10^6)</f>
        <v>32.91326908821349</v>
      </c>
      <c r="G10" t="s">
        <v>243</v>
      </c>
    </row>
    <row r="11" spans="1:7" x14ac:dyDescent="0.35">
      <c r="A11" t="s">
        <v>259</v>
      </c>
      <c r="B11">
        <v>0.56000000000000005</v>
      </c>
      <c r="D11" t="s">
        <v>39</v>
      </c>
      <c r="E11" t="s">
        <v>244</v>
      </c>
      <c r="F11" t="s">
        <v>245</v>
      </c>
    </row>
    <row r="12" spans="1:7" x14ac:dyDescent="0.35">
      <c r="A12" t="s">
        <v>260</v>
      </c>
      <c r="B12" s="3">
        <f>(634.69*10^6)/(1.44*10^9)</f>
        <v>0.44075694444444447</v>
      </c>
      <c r="C12" t="s">
        <v>261</v>
      </c>
      <c r="D12" t="s">
        <v>60</v>
      </c>
      <c r="E12">
        <f>$B$2/4.18</f>
        <v>6.4306220095693778</v>
      </c>
      <c r="F12" t="s">
        <v>246</v>
      </c>
    </row>
    <row r="13" spans="1:7" x14ac:dyDescent="0.35">
      <c r="D13" t="s">
        <v>131</v>
      </c>
      <c r="E13" s="3">
        <f>(6.15-4.86)/4.86</f>
        <v>0.26543209876543211</v>
      </c>
      <c r="F13" t="s">
        <v>248</v>
      </c>
    </row>
    <row r="14" spans="1:7" x14ac:dyDescent="0.35">
      <c r="D14" t="s">
        <v>153</v>
      </c>
      <c r="F14">
        <f>(1.71)/(1.44)</f>
        <v>1.1875</v>
      </c>
      <c r="G14" t="s">
        <v>249</v>
      </c>
    </row>
    <row r="15" spans="1:7" x14ac:dyDescent="0.35">
      <c r="D15" t="s">
        <v>110</v>
      </c>
      <c r="E15">
        <v>22.96</v>
      </c>
      <c r="F15" t="s">
        <v>247</v>
      </c>
    </row>
    <row r="18" spans="4:13" x14ac:dyDescent="0.35">
      <c r="D18" t="s">
        <v>35</v>
      </c>
      <c r="E18" t="s">
        <v>41</v>
      </c>
    </row>
    <row r="19" spans="4:13" x14ac:dyDescent="0.35">
      <c r="L19" t="s">
        <v>262</v>
      </c>
    </row>
    <row r="20" spans="4:13" x14ac:dyDescent="0.35">
      <c r="D20" t="s">
        <v>25</v>
      </c>
      <c r="L20" t="s">
        <v>26</v>
      </c>
      <c r="M20">
        <f>1.44*10^9</f>
        <v>1440000000</v>
      </c>
    </row>
    <row r="21" spans="4:13" x14ac:dyDescent="0.35">
      <c r="L21" t="s">
        <v>28</v>
      </c>
      <c r="M21">
        <f>204.79*10^6</f>
        <v>204790000</v>
      </c>
    </row>
    <row r="22" spans="4:13" x14ac:dyDescent="0.35">
      <c r="L22" t="s">
        <v>29</v>
      </c>
      <c r="M22">
        <f>2340813</f>
        <v>2340813</v>
      </c>
    </row>
    <row r="23" spans="4:13" x14ac:dyDescent="0.35">
      <c r="D23" t="s">
        <v>12</v>
      </c>
      <c r="E23" t="s">
        <v>264</v>
      </c>
      <c r="F23" t="s">
        <v>265</v>
      </c>
      <c r="G23" t="s">
        <v>266</v>
      </c>
      <c r="L23" t="s">
        <v>263</v>
      </c>
      <c r="M23">
        <f>103.57*10^6</f>
        <v>103570000</v>
      </c>
    </row>
    <row r="24" spans="4:13" x14ac:dyDescent="0.35">
      <c r="D24">
        <v>1</v>
      </c>
      <c r="E24">
        <f>$B$8*(1+$B$7)^D24</f>
        <v>1788885665.363266</v>
      </c>
      <c r="F24">
        <f>1/(1+$B$6)^D24</f>
        <v>0.8826686250141228</v>
      </c>
      <c r="G24">
        <f>(E24*F24)</f>
        <v>1578993250.5536683</v>
      </c>
      <c r="L24" t="s">
        <v>31</v>
      </c>
      <c r="M24">
        <v>0</v>
      </c>
    </row>
    <row r="25" spans="4:13" x14ac:dyDescent="0.35">
      <c r="D25">
        <v>2</v>
      </c>
      <c r="E25">
        <f t="shared" ref="E25:E28" si="0">$B$8*(1+$B$7)^D25</f>
        <v>2079508223.1118479</v>
      </c>
      <c r="F25">
        <f t="shared" ref="F25:F28" si="1">1/(1+$B$6)^D25</f>
        <v>0.77910390158432197</v>
      </c>
      <c r="G25">
        <f t="shared" ref="G25:G28" si="2">(E25*F25)</f>
        <v>1620152970.0031214</v>
      </c>
      <c r="L25" t="s">
        <v>256</v>
      </c>
      <c r="M25">
        <f>M20+M21-M22-M23+M24</f>
        <v>1538879187</v>
      </c>
    </row>
    <row r="26" spans="4:13" x14ac:dyDescent="0.35">
      <c r="D26">
        <v>3</v>
      </c>
      <c r="E26">
        <f t="shared" si="0"/>
        <v>2417345352.8745532</v>
      </c>
      <c r="F26">
        <f t="shared" si="1"/>
        <v>0.68769056955457197</v>
      </c>
      <c r="G26">
        <f t="shared" si="2"/>
        <v>1662385602.5283992</v>
      </c>
    </row>
    <row r="27" spans="4:13" x14ac:dyDescent="0.35">
      <c r="D27">
        <v>4</v>
      </c>
      <c r="E27">
        <f t="shared" si="0"/>
        <v>2810067539.1029215</v>
      </c>
      <c r="F27">
        <f t="shared" si="1"/>
        <v>0.6070028894639129</v>
      </c>
      <c r="G27">
        <f t="shared" si="2"/>
        <v>1705719115.8242204</v>
      </c>
    </row>
    <row r="28" spans="4:13" x14ac:dyDescent="0.35">
      <c r="D28">
        <v>5</v>
      </c>
      <c r="E28">
        <f t="shared" si="0"/>
        <v>3266591413.9781303</v>
      </c>
      <c r="F28">
        <f t="shared" si="1"/>
        <v>0.53578240582271153</v>
      </c>
      <c r="G28">
        <f t="shared" si="2"/>
        <v>1750182206.6210158</v>
      </c>
    </row>
    <row r="31" spans="4:13" x14ac:dyDescent="0.35">
      <c r="E31" t="s">
        <v>267</v>
      </c>
      <c r="F31">
        <f>$E$28*(1+$B$9)</f>
        <v>3416854619.0211244</v>
      </c>
    </row>
    <row r="32" spans="4:13" x14ac:dyDescent="0.35">
      <c r="E32" t="s">
        <v>18</v>
      </c>
      <c r="F32">
        <f>F31/($B$6-$B$9)</f>
        <v>39306720723.140114</v>
      </c>
    </row>
    <row r="33" spans="5:6" x14ac:dyDescent="0.35">
      <c r="E33" t="s">
        <v>268</v>
      </c>
      <c r="F33">
        <f>F32*(1/(1+$B$6)^$D$28)</f>
        <v>21059849394.045441</v>
      </c>
    </row>
    <row r="35" spans="5:6" x14ac:dyDescent="0.35">
      <c r="E35" t="s">
        <v>20</v>
      </c>
      <c r="F35">
        <f>SUM(G24:G28)</f>
        <v>8317433145.5304251</v>
      </c>
    </row>
    <row r="36" spans="5:6" x14ac:dyDescent="0.35">
      <c r="E36" t="s">
        <v>21</v>
      </c>
      <c r="F36">
        <f>F33+F35</f>
        <v>29377282539.575867</v>
      </c>
    </row>
    <row r="37" spans="5:6" x14ac:dyDescent="0.35">
      <c r="E37" t="s">
        <v>269</v>
      </c>
      <c r="F37">
        <f>F36/$B$3</f>
        <v>23.749213674099224</v>
      </c>
    </row>
    <row r="38" spans="5:6" x14ac:dyDescent="0.35">
      <c r="E38" t="s">
        <v>270</v>
      </c>
      <c r="F38" s="3">
        <f>(F37-$B$2)/$B$2</f>
        <v>-0.11647270557666575</v>
      </c>
    </row>
    <row r="41" spans="5:6" x14ac:dyDescent="0.35">
      <c r="E41" t="str">
        <f>IF(F37&gt;B2,"UNDERVALUED","OVERVALUED")</f>
        <v>OVERVALUED</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17713-EC2F-4B16-8EBA-28C1BE4B0153}">
  <dimension ref="A1:K26"/>
  <sheetViews>
    <sheetView topLeftCell="A13" workbookViewId="0">
      <selection activeCell="G17" sqref="G17"/>
    </sheetView>
  </sheetViews>
  <sheetFormatPr defaultRowHeight="14.5" x14ac:dyDescent="0.35"/>
  <cols>
    <col min="2" max="2" width="17.453125" bestFit="1" customWidth="1"/>
    <col min="5" max="5" width="17.453125" bestFit="1" customWidth="1"/>
    <col min="7" max="7" width="18.453125" bestFit="1" customWidth="1"/>
    <col min="11" max="11" width="17.453125" bestFit="1" customWidth="1"/>
  </cols>
  <sheetData>
    <row r="1" spans="1:11" x14ac:dyDescent="0.35">
      <c r="D1" t="s">
        <v>14</v>
      </c>
      <c r="J1" t="s">
        <v>27</v>
      </c>
    </row>
    <row r="2" spans="1:11" x14ac:dyDescent="0.35">
      <c r="A2" t="s">
        <v>0</v>
      </c>
      <c r="B2" t="s">
        <v>1</v>
      </c>
      <c r="D2" t="s">
        <v>12</v>
      </c>
      <c r="E2" t="s">
        <v>13</v>
      </c>
      <c r="F2" t="s">
        <v>15</v>
      </c>
      <c r="G2" t="s">
        <v>16</v>
      </c>
      <c r="J2" t="s">
        <v>26</v>
      </c>
      <c r="K2" s="1">
        <v>8180000000</v>
      </c>
    </row>
    <row r="3" spans="1:11" x14ac:dyDescent="0.35">
      <c r="A3" t="s">
        <v>2</v>
      </c>
      <c r="B3" s="1">
        <v>173.94</v>
      </c>
      <c r="D3">
        <v>1</v>
      </c>
      <c r="E3" s="2">
        <f>$B$12*(1+$B$11)^D3</f>
        <v>9105080381.5</v>
      </c>
      <c r="F3">
        <f>1/(1+$B$8)^D3</f>
        <v>0.87314892428052526</v>
      </c>
      <c r="G3" s="2">
        <f>E3* F3</f>
        <v>7950091140.5944395</v>
      </c>
      <c r="J3" t="s">
        <v>28</v>
      </c>
      <c r="K3" s="1">
        <v>3120000000</v>
      </c>
    </row>
    <row r="4" spans="1:11" x14ac:dyDescent="0.35">
      <c r="A4" t="s">
        <v>9</v>
      </c>
      <c r="B4" s="1">
        <v>234161205</v>
      </c>
      <c r="D4">
        <v>2</v>
      </c>
      <c r="E4" s="2">
        <f>$B$12*(1+$B$11)^D4</f>
        <v>9745208505.1811676</v>
      </c>
      <c r="F4">
        <f t="shared" ref="F4:F7" si="0">1/(1+$B$8)^D4</f>
        <v>0.76238904397223839</v>
      </c>
      <c r="G4" s="2">
        <f t="shared" ref="G4:G7" si="1">E4* F4</f>
        <v>7429640195.5751963</v>
      </c>
      <c r="J4" t="s">
        <v>29</v>
      </c>
      <c r="K4" s="1">
        <v>-628000000</v>
      </c>
    </row>
    <row r="5" spans="1:11" x14ac:dyDescent="0.35">
      <c r="A5" t="s">
        <v>3</v>
      </c>
      <c r="B5">
        <v>8.8499999999999995E-2</v>
      </c>
      <c r="D5">
        <v>3</v>
      </c>
      <c r="E5" s="2">
        <f>$B$12*(1+$B$11)^D5</f>
        <v>10430340516.533676</v>
      </c>
      <c r="F5">
        <f t="shared" si="0"/>
        <v>0.66567917362761797</v>
      </c>
      <c r="G5" s="2">
        <f t="shared" si="1"/>
        <v>6943260455.7007999</v>
      </c>
      <c r="J5" t="s">
        <v>30</v>
      </c>
      <c r="K5" s="1">
        <v>3400000000</v>
      </c>
    </row>
    <row r="6" spans="1:11" x14ac:dyDescent="0.35">
      <c r="A6" t="s">
        <v>4</v>
      </c>
      <c r="B6">
        <v>0.68</v>
      </c>
      <c r="D6">
        <v>4</v>
      </c>
      <c r="E6" s="2">
        <f>$B$12*(1+$B$11)^D6</f>
        <v>11163640391.378321</v>
      </c>
      <c r="F6">
        <f t="shared" si="0"/>
        <v>0.58123705436890361</v>
      </c>
      <c r="G6" s="2">
        <f t="shared" si="1"/>
        <v>6488721457.1184492</v>
      </c>
      <c r="J6" t="s">
        <v>31</v>
      </c>
      <c r="K6" s="1">
        <v>-21000000</v>
      </c>
    </row>
    <row r="7" spans="1:11" x14ac:dyDescent="0.35">
      <c r="A7" t="s">
        <v>5</v>
      </c>
      <c r="B7">
        <v>8.3500000000000005E-2</v>
      </c>
      <c r="D7">
        <v>5</v>
      </c>
      <c r="E7" s="2">
        <f>$B$12*(1+$B$11)^D7</f>
        <v>11948494547.273975</v>
      </c>
      <c r="F7">
        <f t="shared" si="0"/>
        <v>0.50750650877418935</v>
      </c>
      <c r="G7" s="2">
        <f t="shared" si="1"/>
        <v>6063938752.7944536</v>
      </c>
      <c r="J7" t="s">
        <v>32</v>
      </c>
      <c r="K7" s="2">
        <f>K2+K3-K4-K5+K6</f>
        <v>8507000000</v>
      </c>
    </row>
    <row r="8" spans="1:11" x14ac:dyDescent="0.35">
      <c r="A8" t="s">
        <v>6</v>
      </c>
      <c r="B8">
        <f>B5+B6*B7</f>
        <v>0.14527999999999999</v>
      </c>
    </row>
    <row r="9" spans="1:11" x14ac:dyDescent="0.35">
      <c r="A9" t="s">
        <v>7</v>
      </c>
      <c r="B9">
        <v>0.11940000000000001</v>
      </c>
      <c r="F9" t="s">
        <v>17</v>
      </c>
      <c r="G9" s="2">
        <f>E7*(1+$B$13)</f>
        <v>12306949383.692196</v>
      </c>
      <c r="J9" s="1"/>
    </row>
    <row r="10" spans="1:11" x14ac:dyDescent="0.35">
      <c r="A10" t="s">
        <v>8</v>
      </c>
      <c r="B10" s="1">
        <v>40730000000</v>
      </c>
      <c r="F10" t="s">
        <v>18</v>
      </c>
      <c r="G10" s="2">
        <f>G9/($B$8-$B$13)</f>
        <v>106757021024.39449</v>
      </c>
      <c r="J10" s="1"/>
    </row>
    <row r="11" spans="1:11" x14ac:dyDescent="0.35">
      <c r="A11" t="s">
        <v>10</v>
      </c>
      <c r="B11">
        <v>7.0304500000000006E-2</v>
      </c>
      <c r="F11" t="s">
        <v>19</v>
      </c>
      <c r="G11" s="2">
        <f>G10*(1/(1+$B$8)^D7)</f>
        <v>54179883027.223175</v>
      </c>
    </row>
    <row r="12" spans="1:11" x14ac:dyDescent="0.35">
      <c r="A12" t="s">
        <v>11</v>
      </c>
      <c r="B12" s="1">
        <f>$K$7</f>
        <v>8507000000</v>
      </c>
    </row>
    <row r="13" spans="1:11" x14ac:dyDescent="0.35">
      <c r="A13" t="s">
        <v>18</v>
      </c>
      <c r="B13">
        <v>0.03</v>
      </c>
      <c r="F13" t="s">
        <v>20</v>
      </c>
      <c r="G13" s="2">
        <f>SUM(G3:G7)</f>
        <v>34875652001.78334</v>
      </c>
    </row>
    <row r="14" spans="1:11" x14ac:dyDescent="0.35">
      <c r="F14" t="s">
        <v>21</v>
      </c>
      <c r="G14" s="2">
        <f>G13+G11</f>
        <v>89055535029.006516</v>
      </c>
    </row>
    <row r="15" spans="1:11" x14ac:dyDescent="0.35">
      <c r="F15" t="s">
        <v>22</v>
      </c>
      <c r="G15">
        <f>G14/$B$4</f>
        <v>380.31720510238455</v>
      </c>
    </row>
    <row r="16" spans="1:11" x14ac:dyDescent="0.35">
      <c r="F16" t="s">
        <v>23</v>
      </c>
      <c r="G16" s="3">
        <f>(G15-$B$3)/$B$3</f>
        <v>1.1864850241599665</v>
      </c>
      <c r="J16" s="1"/>
    </row>
    <row r="17" spans="5:10" x14ac:dyDescent="0.35">
      <c r="G17" t="str">
        <f>IF(G15&gt;B3,"Undervalued","Overvalued")</f>
        <v>Undervalued</v>
      </c>
    </row>
    <row r="18" spans="5:10" x14ac:dyDescent="0.35">
      <c r="J18" s="1"/>
    </row>
    <row r="20" spans="5:10" x14ac:dyDescent="0.35">
      <c r="E20" t="s">
        <v>43</v>
      </c>
    </row>
    <row r="21" spans="5:10" x14ac:dyDescent="0.35">
      <c r="E21" t="s">
        <v>42</v>
      </c>
    </row>
    <row r="22" spans="5:10" x14ac:dyDescent="0.35">
      <c r="E22" t="s">
        <v>44</v>
      </c>
    </row>
    <row r="23" spans="5:10" x14ac:dyDescent="0.35">
      <c r="E23" t="s">
        <v>45</v>
      </c>
    </row>
    <row r="24" spans="5:10" x14ac:dyDescent="0.35">
      <c r="E24" t="s">
        <v>39</v>
      </c>
    </row>
    <row r="25" spans="5:10" x14ac:dyDescent="0.35">
      <c r="E25" t="s">
        <v>46</v>
      </c>
    </row>
    <row r="26" spans="5:10" x14ac:dyDescent="0.35">
      <c r="E26" t="s">
        <v>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BF600-EF3A-4994-A2D5-CD90064A39B1}">
  <dimension ref="A1:H26"/>
  <sheetViews>
    <sheetView workbookViewId="0">
      <selection activeCell="H26" sqref="H26"/>
    </sheetView>
  </sheetViews>
  <sheetFormatPr defaultRowHeight="14.5" x14ac:dyDescent="0.35"/>
  <cols>
    <col min="2" max="2" width="16.36328125" bestFit="1" customWidth="1"/>
    <col min="4" max="4" width="11.81640625" bestFit="1" customWidth="1"/>
    <col min="5" max="7" width="10.81640625" bestFit="1" customWidth="1"/>
  </cols>
  <sheetData>
    <row r="1" spans="1:8" x14ac:dyDescent="0.35">
      <c r="A1" t="s">
        <v>0</v>
      </c>
      <c r="B1" t="s">
        <v>47</v>
      </c>
    </row>
    <row r="2" spans="1:8" x14ac:dyDescent="0.35">
      <c r="A2" t="s">
        <v>2</v>
      </c>
      <c r="B2" s="1">
        <v>56.35</v>
      </c>
    </row>
    <row r="3" spans="1:8" x14ac:dyDescent="0.35">
      <c r="A3" t="s">
        <v>9</v>
      </c>
      <c r="B3" s="1">
        <f>B14/B2</f>
        <v>2946051464.0638862</v>
      </c>
    </row>
    <row r="4" spans="1:8" x14ac:dyDescent="0.35">
      <c r="A4" t="s">
        <v>3</v>
      </c>
      <c r="B4">
        <v>8.8499999999999995E-2</v>
      </c>
      <c r="F4" t="s">
        <v>49</v>
      </c>
    </row>
    <row r="5" spans="1:8" x14ac:dyDescent="0.35">
      <c r="A5" t="s">
        <v>4</v>
      </c>
      <c r="B5">
        <v>2.38</v>
      </c>
      <c r="F5" t="s">
        <v>50</v>
      </c>
    </row>
    <row r="6" spans="1:8" x14ac:dyDescent="0.35">
      <c r="A6" t="s">
        <v>5</v>
      </c>
      <c r="B6">
        <v>8.3500000000000005E-2</v>
      </c>
      <c r="F6" t="s">
        <v>24</v>
      </c>
      <c r="G6" s="7">
        <v>-8.48E-2</v>
      </c>
      <c r="H6" t="s">
        <v>52</v>
      </c>
    </row>
    <row r="7" spans="1:8" x14ac:dyDescent="0.35">
      <c r="A7" t="s">
        <v>6</v>
      </c>
      <c r="B7">
        <f>B4+B5*B6</f>
        <v>0.28722999999999999</v>
      </c>
      <c r="F7" t="s">
        <v>51</v>
      </c>
      <c r="G7" s="6">
        <v>0.21510000000000001</v>
      </c>
      <c r="H7" t="s">
        <v>53</v>
      </c>
    </row>
    <row r="8" spans="1:8" x14ac:dyDescent="0.35">
      <c r="A8" t="s">
        <v>7</v>
      </c>
      <c r="B8">
        <v>0.11940000000000001</v>
      </c>
      <c r="F8" t="s">
        <v>44</v>
      </c>
    </row>
    <row r="9" spans="1:8" x14ac:dyDescent="0.35">
      <c r="B9" s="1"/>
      <c r="F9" t="s">
        <v>54</v>
      </c>
      <c r="G9">
        <v>2.89</v>
      </c>
      <c r="H9" t="s">
        <v>55</v>
      </c>
    </row>
    <row r="10" spans="1:8" x14ac:dyDescent="0.35">
      <c r="A10" t="s">
        <v>10</v>
      </c>
      <c r="B10">
        <v>7.0304500000000006E-2</v>
      </c>
      <c r="F10" t="s">
        <v>56</v>
      </c>
    </row>
    <row r="11" spans="1:8" x14ac:dyDescent="0.35">
      <c r="A11" t="s">
        <v>11</v>
      </c>
      <c r="B11" s="1">
        <f>$K$7</f>
        <v>0</v>
      </c>
      <c r="F11" t="s">
        <v>57</v>
      </c>
      <c r="G11">
        <f>$D$16/$D$17</f>
        <v>3.9290540540540539</v>
      </c>
      <c r="H11" t="s">
        <v>67</v>
      </c>
    </row>
    <row r="12" spans="1:8" x14ac:dyDescent="0.35">
      <c r="A12" t="s">
        <v>18</v>
      </c>
      <c r="B12">
        <v>0.03</v>
      </c>
      <c r="F12" t="s">
        <v>58</v>
      </c>
      <c r="G12">
        <v>1.06</v>
      </c>
      <c r="H12" t="s">
        <v>62</v>
      </c>
    </row>
    <row r="13" spans="1:8" x14ac:dyDescent="0.35">
      <c r="F13" t="s">
        <v>59</v>
      </c>
      <c r="G13">
        <v>226000000</v>
      </c>
      <c r="H13" t="s">
        <v>68</v>
      </c>
    </row>
    <row r="14" spans="1:8" x14ac:dyDescent="0.35">
      <c r="A14" t="s">
        <v>48</v>
      </c>
      <c r="B14">
        <v>166010000000</v>
      </c>
      <c r="F14" t="s">
        <v>40</v>
      </c>
      <c r="G14">
        <v>122880000000</v>
      </c>
      <c r="H14" t="s">
        <v>69</v>
      </c>
    </row>
    <row r="15" spans="1:8" x14ac:dyDescent="0.35">
      <c r="C15" t="s">
        <v>65</v>
      </c>
      <c r="F15" t="s">
        <v>39</v>
      </c>
      <c r="G15">
        <v>-1.2649999999999999</v>
      </c>
      <c r="H15" t="s">
        <v>70</v>
      </c>
    </row>
    <row r="16" spans="1:8" x14ac:dyDescent="0.35">
      <c r="C16" t="s">
        <v>63</v>
      </c>
      <c r="D16">
        <v>11630000000</v>
      </c>
      <c r="F16" t="s">
        <v>60</v>
      </c>
      <c r="G16" s="2">
        <f>$B$2/$D26</f>
        <v>3.9516129032258065</v>
      </c>
      <c r="H16" t="s">
        <v>75</v>
      </c>
    </row>
    <row r="17" spans="3:8" x14ac:dyDescent="0.35">
      <c r="C17" t="s">
        <v>64</v>
      </c>
      <c r="D17">
        <v>2960000000</v>
      </c>
      <c r="F17" t="s">
        <v>61</v>
      </c>
      <c r="G17" s="2">
        <f>$B$2/G15</f>
        <v>-44.545454545454547</v>
      </c>
      <c r="H17" t="s">
        <v>73</v>
      </c>
    </row>
    <row r="18" spans="3:8" x14ac:dyDescent="0.35">
      <c r="D18">
        <f>D16/D17</f>
        <v>3.9290540540540539</v>
      </c>
    </row>
    <row r="20" spans="3:8" x14ac:dyDescent="0.35">
      <c r="C20" t="s">
        <v>66</v>
      </c>
      <c r="D20">
        <v>2022</v>
      </c>
      <c r="E20">
        <v>2023</v>
      </c>
      <c r="F20">
        <v>2024</v>
      </c>
    </row>
    <row r="21" spans="3:8" x14ac:dyDescent="0.35">
      <c r="C21" t="s">
        <v>63</v>
      </c>
      <c r="D21">
        <v>33370000000</v>
      </c>
      <c r="E21">
        <v>8070000000</v>
      </c>
      <c r="F21">
        <v>2730000000</v>
      </c>
    </row>
    <row r="22" spans="3:8" x14ac:dyDescent="0.35">
      <c r="C22" t="s">
        <v>38</v>
      </c>
      <c r="D22">
        <v>1370000000</v>
      </c>
      <c r="E22">
        <v>1820000000</v>
      </c>
      <c r="F22">
        <v>3010000000</v>
      </c>
    </row>
    <row r="23" spans="3:8" x14ac:dyDescent="0.35">
      <c r="D23">
        <f>D21/D22</f>
        <v>24.357664233576642</v>
      </c>
      <c r="E23">
        <f t="shared" ref="E23:F23" si="0">E21/E22</f>
        <v>4.4340659340659343</v>
      </c>
      <c r="F23">
        <f t="shared" si="0"/>
        <v>0.90697674418604646</v>
      </c>
    </row>
    <row r="25" spans="3:8" x14ac:dyDescent="0.35">
      <c r="C25" t="s">
        <v>71</v>
      </c>
      <c r="G25" t="s">
        <v>74</v>
      </c>
      <c r="H25" t="s">
        <v>76</v>
      </c>
    </row>
    <row r="26" spans="3:8" x14ac:dyDescent="0.35">
      <c r="C26" t="s">
        <v>72</v>
      </c>
      <c r="D26">
        <v>14.26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9FBDA-A3F3-4F14-AF17-29B800990279}">
  <dimension ref="A1:G20"/>
  <sheetViews>
    <sheetView topLeftCell="A4" workbookViewId="0">
      <selection activeCell="F11" sqref="F11"/>
    </sheetView>
  </sheetViews>
  <sheetFormatPr defaultRowHeight="14.5" x14ac:dyDescent="0.35"/>
  <cols>
    <col min="4" max="4" width="11.81640625" bestFit="1" customWidth="1"/>
  </cols>
  <sheetData>
    <row r="1" spans="1:7" x14ac:dyDescent="0.35">
      <c r="A1" t="s">
        <v>77</v>
      </c>
      <c r="B1" t="s">
        <v>78</v>
      </c>
      <c r="E1" t="s">
        <v>49</v>
      </c>
    </row>
    <row r="2" spans="1:7" x14ac:dyDescent="0.35">
      <c r="A2" t="s">
        <v>2</v>
      </c>
      <c r="B2">
        <v>340.05</v>
      </c>
      <c r="E2" t="s">
        <v>42</v>
      </c>
    </row>
    <row r="3" spans="1:7" x14ac:dyDescent="0.35">
      <c r="E3" t="s">
        <v>24</v>
      </c>
      <c r="F3">
        <v>32.32</v>
      </c>
      <c r="G3" t="s">
        <v>86</v>
      </c>
    </row>
    <row r="4" spans="1:7" x14ac:dyDescent="0.35">
      <c r="E4" t="s">
        <v>79</v>
      </c>
      <c r="F4">
        <v>37.68</v>
      </c>
      <c r="G4" t="s">
        <v>87</v>
      </c>
    </row>
    <row r="5" spans="1:7" x14ac:dyDescent="0.35">
      <c r="E5" t="s">
        <v>80</v>
      </c>
    </row>
    <row r="6" spans="1:7" x14ac:dyDescent="0.35">
      <c r="E6" t="s">
        <v>54</v>
      </c>
      <c r="F6">
        <v>1.26</v>
      </c>
      <c r="G6" t="s">
        <v>89</v>
      </c>
    </row>
    <row r="7" spans="1:7" x14ac:dyDescent="0.35">
      <c r="E7" t="s">
        <v>81</v>
      </c>
    </row>
    <row r="8" spans="1:7" x14ac:dyDescent="0.35">
      <c r="E8" t="s">
        <v>82</v>
      </c>
      <c r="F8">
        <v>0.05</v>
      </c>
      <c r="G8" t="s">
        <v>91</v>
      </c>
    </row>
    <row r="9" spans="1:7" x14ac:dyDescent="0.35">
      <c r="E9" t="s">
        <v>57</v>
      </c>
      <c r="F9">
        <f>$D$20</f>
        <v>37.464183381088823</v>
      </c>
      <c r="G9" t="s">
        <v>92</v>
      </c>
    </row>
    <row r="10" spans="1:7" x14ac:dyDescent="0.35">
      <c r="E10" t="s">
        <v>39</v>
      </c>
      <c r="F10">
        <v>23.14</v>
      </c>
      <c r="G10" t="s">
        <v>93</v>
      </c>
    </row>
    <row r="11" spans="1:7" x14ac:dyDescent="0.35">
      <c r="E11" t="s">
        <v>60</v>
      </c>
      <c r="F11">
        <f>$B$2/77.48</f>
        <v>4.3888745482705209</v>
      </c>
      <c r="G11" t="s">
        <v>94</v>
      </c>
    </row>
    <row r="12" spans="1:7" x14ac:dyDescent="0.35">
      <c r="E12" t="s">
        <v>83</v>
      </c>
      <c r="F12">
        <f>$B$2/F10</f>
        <v>14.69533275713051</v>
      </c>
      <c r="G12" t="s">
        <v>95</v>
      </c>
    </row>
    <row r="13" spans="1:7" x14ac:dyDescent="0.35">
      <c r="E13" t="s">
        <v>84</v>
      </c>
      <c r="F13">
        <f>10790000000/14380000000</f>
        <v>0.75034770514603621</v>
      </c>
      <c r="G13" t="s">
        <v>96</v>
      </c>
    </row>
    <row r="14" spans="1:7" x14ac:dyDescent="0.35">
      <c r="E14" t="s">
        <v>85</v>
      </c>
      <c r="F14">
        <v>30.88</v>
      </c>
      <c r="G14" t="s">
        <v>88</v>
      </c>
    </row>
    <row r="15" spans="1:7" x14ac:dyDescent="0.35">
      <c r="E15" t="s">
        <v>40</v>
      </c>
      <c r="F15" t="s">
        <v>97</v>
      </c>
      <c r="G15" t="s">
        <v>98</v>
      </c>
    </row>
    <row r="17" spans="3:7" x14ac:dyDescent="0.35">
      <c r="C17" t="s">
        <v>90</v>
      </c>
    </row>
    <row r="18" spans="3:7" x14ac:dyDescent="0.35">
      <c r="C18" t="s">
        <v>63</v>
      </c>
      <c r="D18">
        <v>26150000000</v>
      </c>
    </row>
    <row r="19" spans="3:7" x14ac:dyDescent="0.35">
      <c r="C19" t="s">
        <v>38</v>
      </c>
      <c r="D19">
        <v>698000000</v>
      </c>
      <c r="F19" t="s">
        <v>35</v>
      </c>
      <c r="G19" t="s">
        <v>41</v>
      </c>
    </row>
    <row r="20" spans="3:7" x14ac:dyDescent="0.35">
      <c r="D20">
        <f>D18/D19</f>
        <v>37.464183381088823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ECDD9-20E0-4908-A0B5-C42527E436D4}">
  <dimension ref="A1:G21"/>
  <sheetViews>
    <sheetView topLeftCell="A10" workbookViewId="0">
      <selection activeCell="G22" sqref="G22"/>
    </sheetView>
  </sheetViews>
  <sheetFormatPr defaultRowHeight="14.5" x14ac:dyDescent="0.35"/>
  <cols>
    <col min="6" max="6" width="10.81640625" bestFit="1" customWidth="1"/>
  </cols>
  <sheetData>
    <row r="1" spans="1:7" x14ac:dyDescent="0.35">
      <c r="A1" t="s">
        <v>77</v>
      </c>
      <c r="B1" t="s">
        <v>103</v>
      </c>
      <c r="E1" t="s">
        <v>49</v>
      </c>
    </row>
    <row r="2" spans="1:7" x14ac:dyDescent="0.35">
      <c r="A2" t="s">
        <v>2</v>
      </c>
      <c r="B2">
        <v>311.99</v>
      </c>
      <c r="E2" t="s">
        <v>42</v>
      </c>
    </row>
    <row r="3" spans="1:7" x14ac:dyDescent="0.35">
      <c r="E3" t="s">
        <v>24</v>
      </c>
      <c r="F3">
        <v>4.75</v>
      </c>
      <c r="G3" t="s">
        <v>111</v>
      </c>
    </row>
    <row r="4" spans="1:7" x14ac:dyDescent="0.35">
      <c r="E4" t="s">
        <v>85</v>
      </c>
      <c r="F4">
        <v>3.71</v>
      </c>
      <c r="G4" t="s">
        <v>112</v>
      </c>
    </row>
    <row r="5" spans="1:7" x14ac:dyDescent="0.35">
      <c r="E5" t="s">
        <v>104</v>
      </c>
      <c r="F5">
        <v>12.68</v>
      </c>
      <c r="G5" t="s">
        <v>113</v>
      </c>
    </row>
    <row r="6" spans="1:7" x14ac:dyDescent="0.35">
      <c r="E6" t="s">
        <v>105</v>
      </c>
    </row>
    <row r="7" spans="1:7" x14ac:dyDescent="0.35">
      <c r="E7" t="s">
        <v>106</v>
      </c>
      <c r="F7">
        <v>2.41</v>
      </c>
      <c r="G7" t="s">
        <v>114</v>
      </c>
    </row>
    <row r="8" spans="1:7" x14ac:dyDescent="0.35">
      <c r="E8" t="s">
        <v>56</v>
      </c>
    </row>
    <row r="9" spans="1:7" x14ac:dyDescent="0.35">
      <c r="E9" t="s">
        <v>107</v>
      </c>
      <c r="F9">
        <v>0.38</v>
      </c>
      <c r="G9" t="s">
        <v>116</v>
      </c>
    </row>
    <row r="10" spans="1:7" x14ac:dyDescent="0.35">
      <c r="E10" t="s">
        <v>57</v>
      </c>
      <c r="F10">
        <f>F19</f>
        <v>2.4397163120567376</v>
      </c>
      <c r="G10" t="s">
        <v>117</v>
      </c>
    </row>
    <row r="11" spans="1:7" x14ac:dyDescent="0.35">
      <c r="E11" t="s">
        <v>39</v>
      </c>
      <c r="F11">
        <v>3.81</v>
      </c>
      <c r="G11" t="s">
        <v>118</v>
      </c>
    </row>
    <row r="12" spans="1:7" x14ac:dyDescent="0.35">
      <c r="E12" t="s">
        <v>60</v>
      </c>
      <c r="F12">
        <f>$B$2/81.65</f>
        <v>3.8210655235762401</v>
      </c>
      <c r="G12" t="s">
        <v>119</v>
      </c>
    </row>
    <row r="13" spans="1:7" x14ac:dyDescent="0.35">
      <c r="E13" t="s">
        <v>108</v>
      </c>
      <c r="F13" t="s">
        <v>122</v>
      </c>
      <c r="G13" t="s">
        <v>123</v>
      </c>
    </row>
    <row r="14" spans="1:7" x14ac:dyDescent="0.35">
      <c r="E14" t="s">
        <v>109</v>
      </c>
      <c r="F14">
        <f>-1560000000/1490000000</f>
        <v>-1.0469798657718121</v>
      </c>
      <c r="G14" t="s">
        <v>120</v>
      </c>
    </row>
    <row r="15" spans="1:7" x14ac:dyDescent="0.35">
      <c r="E15" t="s">
        <v>110</v>
      </c>
      <c r="F15">
        <f>$B$2/F11</f>
        <v>81.887139107611546</v>
      </c>
      <c r="G15" t="s">
        <v>121</v>
      </c>
    </row>
    <row r="17" spans="5:7" x14ac:dyDescent="0.35">
      <c r="E17" t="s">
        <v>115</v>
      </c>
      <c r="F17">
        <v>3440000000</v>
      </c>
    </row>
    <row r="18" spans="5:7" x14ac:dyDescent="0.35">
      <c r="E18" t="s">
        <v>38</v>
      </c>
      <c r="F18">
        <v>1410000000</v>
      </c>
    </row>
    <row r="19" spans="5:7" x14ac:dyDescent="0.35">
      <c r="F19">
        <f>F17/F18</f>
        <v>2.4397163120567376</v>
      </c>
    </row>
    <row r="21" spans="5:7" x14ac:dyDescent="0.35">
      <c r="F21" t="s">
        <v>35</v>
      </c>
      <c r="G21" t="s">
        <v>124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8BE65-009F-44D3-8A49-3F6A43D997AA}">
  <dimension ref="A1:G22"/>
  <sheetViews>
    <sheetView topLeftCell="A7" workbookViewId="0">
      <selection activeCell="F11" sqref="F11"/>
    </sheetView>
  </sheetViews>
  <sheetFormatPr defaultRowHeight="14.5" x14ac:dyDescent="0.35"/>
  <cols>
    <col min="5" max="7" width="11.81640625" bestFit="1" customWidth="1"/>
  </cols>
  <sheetData>
    <row r="1" spans="1:6" x14ac:dyDescent="0.35">
      <c r="A1" t="s">
        <v>0</v>
      </c>
      <c r="B1" t="s">
        <v>126</v>
      </c>
      <c r="D1" t="s">
        <v>49</v>
      </c>
    </row>
    <row r="2" spans="1:6" x14ac:dyDescent="0.35">
      <c r="A2" t="s">
        <v>129</v>
      </c>
      <c r="B2">
        <f>141748/100</f>
        <v>1417.48</v>
      </c>
      <c r="D2" t="s">
        <v>42</v>
      </c>
    </row>
    <row r="3" spans="1:6" x14ac:dyDescent="0.35">
      <c r="D3" t="s">
        <v>24</v>
      </c>
      <c r="E3">
        <v>43.15</v>
      </c>
      <c r="F3" t="s">
        <v>142</v>
      </c>
    </row>
    <row r="4" spans="1:6" x14ac:dyDescent="0.35">
      <c r="D4" t="s">
        <v>85</v>
      </c>
      <c r="E4">
        <v>13.91</v>
      </c>
      <c r="F4" t="s">
        <v>132</v>
      </c>
    </row>
    <row r="5" spans="1:6" x14ac:dyDescent="0.35">
      <c r="D5" t="s">
        <v>104</v>
      </c>
      <c r="E5">
        <v>46.34</v>
      </c>
      <c r="F5" t="s">
        <v>133</v>
      </c>
    </row>
    <row r="6" spans="1:6" x14ac:dyDescent="0.35">
      <c r="D6" t="s">
        <v>105</v>
      </c>
    </row>
    <row r="7" spans="1:6" x14ac:dyDescent="0.35">
      <c r="D7" t="s">
        <v>54</v>
      </c>
      <c r="E7">
        <v>2.58</v>
      </c>
      <c r="F7" t="s">
        <v>134</v>
      </c>
    </row>
    <row r="8" spans="1:6" x14ac:dyDescent="0.35">
      <c r="D8" t="s">
        <v>56</v>
      </c>
    </row>
    <row r="9" spans="1:6" x14ac:dyDescent="0.35">
      <c r="D9" t="s">
        <v>130</v>
      </c>
      <c r="E9">
        <v>0.3</v>
      </c>
      <c r="F9" t="s">
        <v>135</v>
      </c>
    </row>
    <row r="10" spans="1:6" x14ac:dyDescent="0.35">
      <c r="D10" t="s">
        <v>57</v>
      </c>
      <c r="E10">
        <f>E21</f>
        <v>86.015240821766938</v>
      </c>
      <c r="F10" t="s">
        <v>149</v>
      </c>
    </row>
    <row r="11" spans="1:6" x14ac:dyDescent="0.35">
      <c r="D11" t="s">
        <v>39</v>
      </c>
      <c r="E11">
        <v>63.07</v>
      </c>
      <c r="F11" t="s">
        <v>139</v>
      </c>
    </row>
    <row r="12" spans="1:6" x14ac:dyDescent="0.35">
      <c r="D12" t="s">
        <v>60</v>
      </c>
      <c r="E12">
        <f>$B2/265.6</f>
        <v>5.3368975903614455</v>
      </c>
      <c r="F12" t="s">
        <v>136</v>
      </c>
    </row>
    <row r="13" spans="1:6" x14ac:dyDescent="0.35">
      <c r="D13" t="s">
        <v>131</v>
      </c>
      <c r="E13" t="s">
        <v>137</v>
      </c>
      <c r="F13" t="s">
        <v>138</v>
      </c>
    </row>
    <row r="14" spans="1:6" x14ac:dyDescent="0.35">
      <c r="D14" t="s">
        <v>109</v>
      </c>
      <c r="E14">
        <f>39310000000/31750000000</f>
        <v>1.2381102362204723</v>
      </c>
      <c r="F14" t="s">
        <v>143</v>
      </c>
    </row>
    <row r="15" spans="1:6" x14ac:dyDescent="0.35">
      <c r="D15" t="s">
        <v>61</v>
      </c>
      <c r="E15">
        <f>$B$2/E11</f>
        <v>22.474710638972571</v>
      </c>
      <c r="F15" t="s">
        <v>140</v>
      </c>
    </row>
    <row r="17" spans="4:7" x14ac:dyDescent="0.35">
      <c r="D17" t="s">
        <v>144</v>
      </c>
      <c r="E17" t="s">
        <v>145</v>
      </c>
      <c r="F17" t="s">
        <v>146</v>
      </c>
      <c r="G17" t="s">
        <v>147</v>
      </c>
    </row>
    <row r="18" spans="4:7" x14ac:dyDescent="0.35">
      <c r="D18" t="s">
        <v>63</v>
      </c>
      <c r="E18">
        <v>14040000000</v>
      </c>
      <c r="F18">
        <f>17.59*10^9</f>
        <v>17590000000</v>
      </c>
      <c r="G18">
        <f>18.92*10^9</f>
        <v>18920000000</v>
      </c>
    </row>
    <row r="19" spans="4:7" x14ac:dyDescent="0.35">
      <c r="D19" t="s">
        <v>38</v>
      </c>
      <c r="E19">
        <f>258.3 *10^6</f>
        <v>258300000</v>
      </c>
      <c r="F19">
        <f>964.29*10^6</f>
        <v>964290000</v>
      </c>
      <c r="G19">
        <f>1.41*10^9</f>
        <v>1410000000</v>
      </c>
    </row>
    <row r="20" spans="4:7" x14ac:dyDescent="0.35">
      <c r="E20">
        <f>E18/E19</f>
        <v>54.355400696864109</v>
      </c>
      <c r="F20">
        <f t="shared" ref="F20:G20" si="0">F18/F19</f>
        <v>18.241400408590778</v>
      </c>
      <c r="G20">
        <f t="shared" si="0"/>
        <v>13.418439716312056</v>
      </c>
    </row>
    <row r="21" spans="4:7" x14ac:dyDescent="0.35">
      <c r="D21" t="s">
        <v>148</v>
      </c>
      <c r="E21">
        <f>E20+$F$20+$G$20</f>
        <v>86.015240821766938</v>
      </c>
    </row>
    <row r="22" spans="4:7" x14ac:dyDescent="0.35">
      <c r="F22" t="s">
        <v>35</v>
      </c>
      <c r="G22" t="s">
        <v>141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DBD11-08DA-4FB5-AA6B-9C54B475D643}">
  <dimension ref="A1:H20"/>
  <sheetViews>
    <sheetView topLeftCell="A37" workbookViewId="0">
      <selection activeCell="F14" sqref="F14"/>
    </sheetView>
  </sheetViews>
  <sheetFormatPr defaultRowHeight="14.5" x14ac:dyDescent="0.35"/>
  <cols>
    <col min="5" max="5" width="10.81640625" bestFit="1" customWidth="1"/>
  </cols>
  <sheetData>
    <row r="1" spans="1:7" x14ac:dyDescent="0.35">
      <c r="A1" t="s">
        <v>77</v>
      </c>
      <c r="B1" t="s">
        <v>128</v>
      </c>
      <c r="D1" t="s">
        <v>49</v>
      </c>
    </row>
    <row r="2" spans="1:7" x14ac:dyDescent="0.35">
      <c r="A2" t="s">
        <v>2</v>
      </c>
      <c r="B2">
        <f>22861/100</f>
        <v>228.61</v>
      </c>
      <c r="D2" t="s">
        <v>150</v>
      </c>
    </row>
    <row r="3" spans="1:7" x14ac:dyDescent="0.35">
      <c r="D3" t="s">
        <v>24</v>
      </c>
      <c r="E3" t="s">
        <v>154</v>
      </c>
      <c r="F3" t="s">
        <v>155</v>
      </c>
    </row>
    <row r="4" spans="1:7" x14ac:dyDescent="0.35">
      <c r="D4" t="s">
        <v>85</v>
      </c>
      <c r="E4" t="s">
        <v>156</v>
      </c>
      <c r="F4" t="s">
        <v>157</v>
      </c>
    </row>
    <row r="5" spans="1:7" x14ac:dyDescent="0.35">
      <c r="D5" t="s">
        <v>104</v>
      </c>
      <c r="E5" t="s">
        <v>158</v>
      </c>
      <c r="F5" t="s">
        <v>159</v>
      </c>
    </row>
    <row r="6" spans="1:7" x14ac:dyDescent="0.35">
      <c r="D6" t="s">
        <v>105</v>
      </c>
    </row>
    <row r="7" spans="1:7" x14ac:dyDescent="0.35">
      <c r="D7" t="s">
        <v>151</v>
      </c>
      <c r="F7" t="s">
        <v>160</v>
      </c>
      <c r="G7" t="s">
        <v>161</v>
      </c>
    </row>
    <row r="8" spans="1:7" x14ac:dyDescent="0.35">
      <c r="D8" t="s">
        <v>56</v>
      </c>
    </row>
    <row r="9" spans="1:7" x14ac:dyDescent="0.35">
      <c r="D9" t="s">
        <v>152</v>
      </c>
      <c r="F9">
        <v>0.04</v>
      </c>
      <c r="G9" t="s">
        <v>162</v>
      </c>
    </row>
    <row r="10" spans="1:7" x14ac:dyDescent="0.35">
      <c r="D10" t="s">
        <v>57</v>
      </c>
      <c r="F10">
        <f>$E$20</f>
        <v>1.9259259259259258</v>
      </c>
      <c r="G10" t="s">
        <v>164</v>
      </c>
    </row>
    <row r="11" spans="1:7" x14ac:dyDescent="0.35">
      <c r="D11" t="s">
        <v>39</v>
      </c>
      <c r="F11" t="s">
        <v>165</v>
      </c>
      <c r="G11" t="s">
        <v>166</v>
      </c>
    </row>
    <row r="12" spans="1:7" x14ac:dyDescent="0.35">
      <c r="D12" t="s">
        <v>60</v>
      </c>
      <c r="F12">
        <f>$B$2/102.07</f>
        <v>2.2397374350935637</v>
      </c>
      <c r="G12" t="s">
        <v>167</v>
      </c>
    </row>
    <row r="13" spans="1:7" x14ac:dyDescent="0.35">
      <c r="D13" t="s">
        <v>131</v>
      </c>
      <c r="F13" t="s">
        <v>172</v>
      </c>
      <c r="G13" t="s">
        <v>173</v>
      </c>
    </row>
    <row r="14" spans="1:7" x14ac:dyDescent="0.35">
      <c r="D14" t="s">
        <v>153</v>
      </c>
      <c r="F14">
        <f>1920000000/(761 *10^6)</f>
        <v>2.5229960578186597</v>
      </c>
      <c r="G14" t="s">
        <v>168</v>
      </c>
    </row>
    <row r="15" spans="1:7" x14ac:dyDescent="0.35">
      <c r="D15" t="s">
        <v>110</v>
      </c>
      <c r="F15">
        <f>228.61/0.85</f>
        <v>268.95294117647063</v>
      </c>
      <c r="G15" t="s">
        <v>169</v>
      </c>
    </row>
    <row r="17" spans="4:8" x14ac:dyDescent="0.35">
      <c r="D17" t="s">
        <v>163</v>
      </c>
    </row>
    <row r="18" spans="4:8" x14ac:dyDescent="0.35">
      <c r="D18" t="s">
        <v>63</v>
      </c>
      <c r="E18">
        <f>2.08*(10^9)</f>
        <v>2080000000</v>
      </c>
    </row>
    <row r="19" spans="4:8" x14ac:dyDescent="0.35">
      <c r="D19" t="s">
        <v>38</v>
      </c>
      <c r="E19">
        <f>1.08 * (10^9)</f>
        <v>1080000000</v>
      </c>
    </row>
    <row r="20" spans="4:8" x14ac:dyDescent="0.35">
      <c r="E20">
        <f>E18/E19</f>
        <v>1.9259259259259258</v>
      </c>
      <c r="G20" t="s">
        <v>35</v>
      </c>
      <c r="H20" t="s">
        <v>170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BCDFF-B091-4D41-A719-6F240E34A799}">
  <dimension ref="A1:F17"/>
  <sheetViews>
    <sheetView workbookViewId="0">
      <selection activeCell="E18" sqref="E18"/>
    </sheetView>
  </sheetViews>
  <sheetFormatPr defaultRowHeight="14.5" x14ac:dyDescent="0.35"/>
  <sheetData>
    <row r="1" spans="1:6" x14ac:dyDescent="0.35">
      <c r="A1" t="s">
        <v>77</v>
      </c>
      <c r="B1" t="s">
        <v>176</v>
      </c>
      <c r="D1" t="s">
        <v>49</v>
      </c>
    </row>
    <row r="2" spans="1:6" x14ac:dyDescent="0.35">
      <c r="A2" t="s">
        <v>2</v>
      </c>
      <c r="B2">
        <f>27151/100</f>
        <v>271.51</v>
      </c>
      <c r="D2" t="s">
        <v>150</v>
      </c>
    </row>
    <row r="3" spans="1:6" x14ac:dyDescent="0.35">
      <c r="D3" t="s">
        <v>24</v>
      </c>
      <c r="E3" t="s">
        <v>183</v>
      </c>
      <c r="F3" t="s">
        <v>184</v>
      </c>
    </row>
    <row r="4" spans="1:6" x14ac:dyDescent="0.35">
      <c r="D4" t="s">
        <v>85</v>
      </c>
      <c r="E4" t="s">
        <v>185</v>
      </c>
      <c r="F4" t="s">
        <v>186</v>
      </c>
    </row>
    <row r="5" spans="1:6" x14ac:dyDescent="0.35">
      <c r="D5" t="s">
        <v>104</v>
      </c>
      <c r="E5" t="s">
        <v>187</v>
      </c>
      <c r="F5" t="s">
        <v>188</v>
      </c>
    </row>
    <row r="6" spans="1:6" x14ac:dyDescent="0.35">
      <c r="D6" t="s">
        <v>105</v>
      </c>
    </row>
    <row r="7" spans="1:6" x14ac:dyDescent="0.35">
      <c r="D7" t="s">
        <v>151</v>
      </c>
      <c r="E7" t="s">
        <v>189</v>
      </c>
      <c r="F7" t="s">
        <v>190</v>
      </c>
    </row>
    <row r="8" spans="1:6" x14ac:dyDescent="0.35">
      <c r="D8" t="s">
        <v>56</v>
      </c>
    </row>
    <row r="9" spans="1:6" x14ac:dyDescent="0.35">
      <c r="D9" t="s">
        <v>152</v>
      </c>
      <c r="E9" t="s">
        <v>191</v>
      </c>
      <c r="F9" t="s">
        <v>192</v>
      </c>
    </row>
    <row r="10" spans="1:6" x14ac:dyDescent="0.35">
      <c r="D10" t="s">
        <v>57</v>
      </c>
      <c r="E10">
        <f>(1.17*10^9)/(54.78*10^6)</f>
        <v>21.358159912376781</v>
      </c>
      <c r="F10" t="s">
        <v>193</v>
      </c>
    </row>
    <row r="11" spans="1:6" x14ac:dyDescent="0.35">
      <c r="D11" t="s">
        <v>39</v>
      </c>
      <c r="E11">
        <v>22.75</v>
      </c>
      <c r="F11" t="s">
        <v>194</v>
      </c>
    </row>
    <row r="12" spans="1:6" x14ac:dyDescent="0.35">
      <c r="D12" t="s">
        <v>60</v>
      </c>
      <c r="E12">
        <f>$B$2/34.88</f>
        <v>7.7841169724770634</v>
      </c>
      <c r="F12" t="s">
        <v>195</v>
      </c>
    </row>
    <row r="13" spans="1:6" x14ac:dyDescent="0.35">
      <c r="D13" t="s">
        <v>131</v>
      </c>
      <c r="E13" s="3">
        <f>((22.62-15.96)/15.96)</f>
        <v>0.41729323308270677</v>
      </c>
      <c r="F13" t="s">
        <v>196</v>
      </c>
    </row>
    <row r="14" spans="1:6" x14ac:dyDescent="0.35">
      <c r="D14" t="s">
        <v>153</v>
      </c>
      <c r="E14">
        <f>(1.35*10^9)/(876.39*10^6)</f>
        <v>1.5404100913976655</v>
      </c>
      <c r="F14" t="s">
        <v>197</v>
      </c>
    </row>
    <row r="15" spans="1:6" x14ac:dyDescent="0.35">
      <c r="D15" t="s">
        <v>110</v>
      </c>
      <c r="E15">
        <f>$B$2/E11</f>
        <v>11.934505494505494</v>
      </c>
      <c r="F15" t="s">
        <v>198</v>
      </c>
    </row>
    <row r="17" spans="4:5" x14ac:dyDescent="0.35">
      <c r="D17" t="s">
        <v>35</v>
      </c>
      <c r="E17" t="s">
        <v>41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6948D-FCFF-4750-A0C7-03A2A1A9A9FF}">
  <dimension ref="A1:F17"/>
  <sheetViews>
    <sheetView workbookViewId="0">
      <selection activeCell="F17" sqref="F17"/>
    </sheetView>
  </sheetViews>
  <sheetFormatPr defaultRowHeight="14.5" x14ac:dyDescent="0.35"/>
  <sheetData>
    <row r="1" spans="1:6" x14ac:dyDescent="0.35">
      <c r="A1" t="s">
        <v>77</v>
      </c>
      <c r="B1" t="s">
        <v>128</v>
      </c>
      <c r="D1" t="s">
        <v>49</v>
      </c>
    </row>
    <row r="2" spans="1:6" x14ac:dyDescent="0.35">
      <c r="A2" t="s">
        <v>2</v>
      </c>
      <c r="B2">
        <f>10331/100</f>
        <v>103.31</v>
      </c>
      <c r="D2" s="11" t="s">
        <v>150</v>
      </c>
    </row>
    <row r="3" spans="1:6" x14ac:dyDescent="0.35">
      <c r="D3" t="s">
        <v>24</v>
      </c>
      <c r="E3" t="s">
        <v>199</v>
      </c>
      <c r="F3" t="s">
        <v>200</v>
      </c>
    </row>
    <row r="4" spans="1:6" x14ac:dyDescent="0.35">
      <c r="D4" t="s">
        <v>85</v>
      </c>
      <c r="E4" t="s">
        <v>201</v>
      </c>
      <c r="F4" t="s">
        <v>202</v>
      </c>
    </row>
    <row r="5" spans="1:6" x14ac:dyDescent="0.35">
      <c r="D5" t="s">
        <v>104</v>
      </c>
      <c r="E5" t="s">
        <v>203</v>
      </c>
      <c r="F5" t="s">
        <v>204</v>
      </c>
    </row>
    <row r="6" spans="1:6" x14ac:dyDescent="0.35">
      <c r="D6" s="11" t="s">
        <v>105</v>
      </c>
    </row>
    <row r="7" spans="1:6" x14ac:dyDescent="0.35">
      <c r="D7" t="s">
        <v>151</v>
      </c>
      <c r="E7" t="s">
        <v>205</v>
      </c>
      <c r="F7" t="s">
        <v>206</v>
      </c>
    </row>
    <row r="8" spans="1:6" x14ac:dyDescent="0.35">
      <c r="D8" s="11" t="s">
        <v>56</v>
      </c>
    </row>
    <row r="9" spans="1:6" x14ac:dyDescent="0.35">
      <c r="D9" t="s">
        <v>152</v>
      </c>
      <c r="E9" t="s">
        <v>207</v>
      </c>
      <c r="F9" t="s">
        <v>208</v>
      </c>
    </row>
    <row r="10" spans="1:6" x14ac:dyDescent="0.35">
      <c r="D10" t="s">
        <v>57</v>
      </c>
      <c r="E10">
        <f>(3.56*10^9)/(236.8*10^6)</f>
        <v>15.033783783783784</v>
      </c>
      <c r="F10" t="s">
        <v>209</v>
      </c>
    </row>
    <row r="11" spans="1:6" x14ac:dyDescent="0.35">
      <c r="D11" t="s">
        <v>39</v>
      </c>
      <c r="E11" t="s">
        <v>210</v>
      </c>
      <c r="F11" t="s">
        <v>211</v>
      </c>
    </row>
    <row r="12" spans="1:6" x14ac:dyDescent="0.35">
      <c r="D12" t="s">
        <v>60</v>
      </c>
      <c r="E12">
        <f>$B$2/16.1</f>
        <v>6.4167701863354036</v>
      </c>
      <c r="F12" t="s">
        <v>212</v>
      </c>
    </row>
    <row r="13" spans="1:6" x14ac:dyDescent="0.35">
      <c r="D13" t="s">
        <v>131</v>
      </c>
      <c r="E13" s="3">
        <f>(16.02-13.27)/13.27</f>
        <v>0.20723436322532027</v>
      </c>
      <c r="F13" t="s">
        <v>213</v>
      </c>
    </row>
    <row r="14" spans="1:6" x14ac:dyDescent="0.35">
      <c r="D14" t="s">
        <v>153</v>
      </c>
      <c r="E14" s="3">
        <f>2.27/2.43</f>
        <v>0.93415637860082301</v>
      </c>
      <c r="F14" t="s">
        <v>214</v>
      </c>
    </row>
    <row r="15" spans="1:6" x14ac:dyDescent="0.35">
      <c r="D15" t="s">
        <v>110</v>
      </c>
      <c r="E15">
        <f>103.31/7.32</f>
        <v>14.113387978142077</v>
      </c>
      <c r="F15" t="s">
        <v>215</v>
      </c>
    </row>
    <row r="17" spans="5:6" x14ac:dyDescent="0.35">
      <c r="E17" t="s">
        <v>35</v>
      </c>
      <c r="F17" t="s">
        <v>216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09D81-1CFF-4EDF-9252-E4328D3A5A2A}">
  <dimension ref="A1:F17"/>
  <sheetViews>
    <sheetView workbookViewId="0">
      <selection activeCell="F18" sqref="F18"/>
    </sheetView>
  </sheetViews>
  <sheetFormatPr defaultRowHeight="14.5" x14ac:dyDescent="0.35"/>
  <cols>
    <col min="5" max="5" width="10.81640625" bestFit="1" customWidth="1"/>
  </cols>
  <sheetData>
    <row r="1" spans="1:6" x14ac:dyDescent="0.35">
      <c r="A1" t="s">
        <v>77</v>
      </c>
      <c r="B1" t="s">
        <v>128</v>
      </c>
      <c r="D1" t="s">
        <v>49</v>
      </c>
    </row>
    <row r="2" spans="1:6" x14ac:dyDescent="0.35">
      <c r="A2" t="s">
        <v>2</v>
      </c>
      <c r="B2">
        <f>36036/100</f>
        <v>360.36</v>
      </c>
      <c r="D2" t="s">
        <v>150</v>
      </c>
    </row>
    <row r="3" spans="1:6" x14ac:dyDescent="0.35">
      <c r="D3" t="s">
        <v>24</v>
      </c>
      <c r="E3" t="s">
        <v>217</v>
      </c>
      <c r="F3" t="s">
        <v>218</v>
      </c>
    </row>
    <row r="4" spans="1:6" x14ac:dyDescent="0.35">
      <c r="D4" t="s">
        <v>85</v>
      </c>
      <c r="E4" t="s">
        <v>219</v>
      </c>
      <c r="F4" t="s">
        <v>220</v>
      </c>
    </row>
    <row r="5" spans="1:6" x14ac:dyDescent="0.35">
      <c r="D5" t="s">
        <v>104</v>
      </c>
      <c r="E5" t="s">
        <v>221</v>
      </c>
      <c r="F5" t="s">
        <v>222</v>
      </c>
    </row>
    <row r="6" spans="1:6" x14ac:dyDescent="0.35">
      <c r="D6" t="s">
        <v>105</v>
      </c>
    </row>
    <row r="7" spans="1:6" x14ac:dyDescent="0.35">
      <c r="D7" t="s">
        <v>151</v>
      </c>
      <c r="E7" t="s">
        <v>223</v>
      </c>
      <c r="F7" t="s">
        <v>224</v>
      </c>
    </row>
    <row r="8" spans="1:6" x14ac:dyDescent="0.35">
      <c r="D8" t="s">
        <v>56</v>
      </c>
    </row>
    <row r="9" spans="1:6" x14ac:dyDescent="0.35">
      <c r="D9" t="s">
        <v>152</v>
      </c>
      <c r="E9" t="s">
        <v>225</v>
      </c>
      <c r="F9" t="s">
        <v>226</v>
      </c>
    </row>
    <row r="10" spans="1:6" x14ac:dyDescent="0.35">
      <c r="D10" t="s">
        <v>57</v>
      </c>
      <c r="E10">
        <f>(5.49*10^9)/(72*10^6)</f>
        <v>76.25</v>
      </c>
      <c r="F10" t="s">
        <v>227</v>
      </c>
    </row>
    <row r="11" spans="1:6" x14ac:dyDescent="0.35">
      <c r="D11" t="s">
        <v>39</v>
      </c>
      <c r="E11">
        <v>24.82</v>
      </c>
      <c r="F11" t="s">
        <v>228</v>
      </c>
    </row>
    <row r="12" spans="1:6" x14ac:dyDescent="0.35">
      <c r="D12" t="s">
        <v>60</v>
      </c>
      <c r="E12">
        <f>$B$2/112.79</f>
        <v>3.1949640925613974</v>
      </c>
      <c r="F12" t="s">
        <v>229</v>
      </c>
    </row>
    <row r="13" spans="1:6" x14ac:dyDescent="0.35">
      <c r="D13" t="s">
        <v>131</v>
      </c>
      <c r="E13" s="3">
        <f>(34.39-30.95)/30.95</f>
        <v>0.11114701130856224</v>
      </c>
      <c r="F13" t="s">
        <v>230</v>
      </c>
    </row>
    <row r="14" spans="1:6" x14ac:dyDescent="0.35">
      <c r="D14" t="s">
        <v>153</v>
      </c>
      <c r="E14">
        <f>(4.66)/3.82</f>
        <v>1.2198952879581153</v>
      </c>
      <c r="F14" t="s">
        <v>231</v>
      </c>
    </row>
    <row r="15" spans="1:6" x14ac:dyDescent="0.35">
      <c r="D15" t="s">
        <v>110</v>
      </c>
      <c r="E15">
        <f>360.36/E11</f>
        <v>14.518936341659952</v>
      </c>
      <c r="F15" t="s">
        <v>232</v>
      </c>
    </row>
    <row r="17" spans="5:6" x14ac:dyDescent="0.35">
      <c r="E17" t="s">
        <v>35</v>
      </c>
      <c r="F17" t="s">
        <v>41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ACF79-27DF-463E-A0A5-6D564E407C52}">
  <dimension ref="A1:F17"/>
  <sheetViews>
    <sheetView workbookViewId="0">
      <selection activeCell="H11" sqref="H11"/>
    </sheetView>
  </sheetViews>
  <sheetFormatPr defaultRowHeight="14.5" x14ac:dyDescent="0.35"/>
  <sheetData>
    <row r="1" spans="1:4" x14ac:dyDescent="0.35">
      <c r="A1" t="s">
        <v>77</v>
      </c>
      <c r="B1" t="s">
        <v>128</v>
      </c>
      <c r="D1" t="s">
        <v>49</v>
      </c>
    </row>
    <row r="2" spans="1:4" x14ac:dyDescent="0.35">
      <c r="A2" t="s">
        <v>2</v>
      </c>
      <c r="B2">
        <f>22861/100</f>
        <v>228.61</v>
      </c>
      <c r="D2" t="s">
        <v>150</v>
      </c>
    </row>
    <row r="3" spans="1:4" x14ac:dyDescent="0.35">
      <c r="D3" t="s">
        <v>24</v>
      </c>
    </row>
    <row r="4" spans="1:4" x14ac:dyDescent="0.35">
      <c r="D4" t="s">
        <v>85</v>
      </c>
    </row>
    <row r="5" spans="1:4" x14ac:dyDescent="0.35">
      <c r="D5" t="s">
        <v>104</v>
      </c>
    </row>
    <row r="6" spans="1:4" x14ac:dyDescent="0.35">
      <c r="D6" t="s">
        <v>105</v>
      </c>
    </row>
    <row r="7" spans="1:4" x14ac:dyDescent="0.35">
      <c r="D7" t="s">
        <v>151</v>
      </c>
    </row>
    <row r="8" spans="1:4" x14ac:dyDescent="0.35">
      <c r="D8" t="s">
        <v>56</v>
      </c>
    </row>
    <row r="9" spans="1:4" x14ac:dyDescent="0.35">
      <c r="D9" t="s">
        <v>152</v>
      </c>
    </row>
    <row r="10" spans="1:4" x14ac:dyDescent="0.35">
      <c r="D10" t="s">
        <v>57</v>
      </c>
    </row>
    <row r="11" spans="1:4" x14ac:dyDescent="0.35">
      <c r="D11" t="s">
        <v>39</v>
      </c>
    </row>
    <row r="12" spans="1:4" x14ac:dyDescent="0.35">
      <c r="D12" t="s">
        <v>60</v>
      </c>
    </row>
    <row r="13" spans="1:4" x14ac:dyDescent="0.35">
      <c r="D13" t="s">
        <v>131</v>
      </c>
    </row>
    <row r="14" spans="1:4" x14ac:dyDescent="0.35">
      <c r="D14" t="s">
        <v>153</v>
      </c>
    </row>
    <row r="15" spans="1:4" x14ac:dyDescent="0.35">
      <c r="D15" t="s">
        <v>110</v>
      </c>
    </row>
    <row r="17" spans="5:6" x14ac:dyDescent="0.35">
      <c r="E17" t="s">
        <v>35</v>
      </c>
      <c r="F17" t="s">
        <v>233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DE3FB-250C-4C98-A8CD-40184E68143A}">
  <dimension ref="A1:O27"/>
  <sheetViews>
    <sheetView workbookViewId="0">
      <selection activeCell="N4" sqref="N4"/>
    </sheetView>
  </sheetViews>
  <sheetFormatPr defaultRowHeight="14.5" x14ac:dyDescent="0.35"/>
  <cols>
    <col min="2" max="2" width="17.08984375" bestFit="1" customWidth="1"/>
    <col min="10" max="10" width="18.08984375" bestFit="1" customWidth="1"/>
    <col min="12" max="12" width="18.08984375" bestFit="1" customWidth="1"/>
    <col min="15" max="15" width="17.453125" bestFit="1" customWidth="1"/>
  </cols>
  <sheetData>
    <row r="1" spans="1:15" x14ac:dyDescent="0.35">
      <c r="A1" t="s">
        <v>0</v>
      </c>
      <c r="B1">
        <f>142828/100</f>
        <v>1428.28</v>
      </c>
      <c r="E1" t="s">
        <v>49</v>
      </c>
      <c r="N1" t="s">
        <v>27</v>
      </c>
    </row>
    <row r="2" spans="1:15" x14ac:dyDescent="0.35">
      <c r="A2" t="s">
        <v>9</v>
      </c>
      <c r="B2" s="1">
        <f>(364.66*10^9)/B1</f>
        <v>255314084.07315093</v>
      </c>
      <c r="E2" t="s">
        <v>42</v>
      </c>
      <c r="N2" t="s">
        <v>26</v>
      </c>
      <c r="O2" s="1">
        <f>1.32*10^9</f>
        <v>1320000000</v>
      </c>
    </row>
    <row r="3" spans="1:15" x14ac:dyDescent="0.35">
      <c r="A3" t="s">
        <v>3</v>
      </c>
      <c r="B3">
        <f>8.79/100</f>
        <v>8.7899999999999992E-2</v>
      </c>
      <c r="E3" t="s">
        <v>24</v>
      </c>
      <c r="N3" t="s">
        <v>28</v>
      </c>
      <c r="O3" s="1">
        <f>8.39*10^9</f>
        <v>8390000000.000001</v>
      </c>
    </row>
    <row r="4" spans="1:15" x14ac:dyDescent="0.35">
      <c r="A4" t="s">
        <v>4</v>
      </c>
      <c r="B4">
        <v>2.42</v>
      </c>
      <c r="E4" t="s">
        <v>85</v>
      </c>
      <c r="N4" t="s">
        <v>29</v>
      </c>
      <c r="O4" s="1">
        <f>-6.84*10^9</f>
        <v>-6840000000</v>
      </c>
    </row>
    <row r="5" spans="1:15" x14ac:dyDescent="0.35">
      <c r="A5" t="s">
        <v>5</v>
      </c>
      <c r="B5">
        <v>8.3500000000000005E-2</v>
      </c>
      <c r="E5" t="s">
        <v>104</v>
      </c>
      <c r="N5" t="s">
        <v>30</v>
      </c>
      <c r="O5" s="1">
        <f>18.34*10^9</f>
        <v>18340000000</v>
      </c>
    </row>
    <row r="6" spans="1:15" x14ac:dyDescent="0.35">
      <c r="A6" t="s">
        <v>6</v>
      </c>
      <c r="B6">
        <f>B3+B4*B5</f>
        <v>0.28997000000000001</v>
      </c>
      <c r="E6" t="s">
        <v>105</v>
      </c>
      <c r="N6" t="s">
        <v>31</v>
      </c>
      <c r="O6" s="1">
        <f>-7.24*10^9</f>
        <v>-7240000000</v>
      </c>
    </row>
    <row r="7" spans="1:15" x14ac:dyDescent="0.35">
      <c r="A7" t="s">
        <v>7</v>
      </c>
      <c r="B7">
        <v>0.11940000000000001</v>
      </c>
      <c r="E7" t="s">
        <v>54</v>
      </c>
      <c r="N7" t="s">
        <v>32</v>
      </c>
      <c r="O7" s="2">
        <f>O2+O3-O4-O5+O6</f>
        <v>-9030000000</v>
      </c>
    </row>
    <row r="8" spans="1:15" x14ac:dyDescent="0.35">
      <c r="A8" t="s">
        <v>8</v>
      </c>
      <c r="B8" s="1">
        <v>40730000000</v>
      </c>
      <c r="E8" t="s">
        <v>56</v>
      </c>
    </row>
    <row r="9" spans="1:15" x14ac:dyDescent="0.35">
      <c r="A9" t="s">
        <v>10</v>
      </c>
      <c r="B9">
        <f>(1-47.51%)*1.4</f>
        <v>0.73485999999999996</v>
      </c>
      <c r="E9" t="s">
        <v>251</v>
      </c>
    </row>
    <row r="10" spans="1:15" x14ac:dyDescent="0.35">
      <c r="A10" t="s">
        <v>11</v>
      </c>
      <c r="B10" s="1">
        <f>1.42*10^9</f>
        <v>1420000000</v>
      </c>
      <c r="E10" t="s">
        <v>57</v>
      </c>
    </row>
    <row r="11" spans="1:15" x14ac:dyDescent="0.35">
      <c r="A11" t="s">
        <v>18</v>
      </c>
      <c r="B11">
        <v>0.03</v>
      </c>
      <c r="E11" t="s">
        <v>25</v>
      </c>
      <c r="I11" t="s">
        <v>14</v>
      </c>
    </row>
    <row r="12" spans="1:15" x14ac:dyDescent="0.35">
      <c r="E12" t="s">
        <v>252</v>
      </c>
      <c r="I12" t="s">
        <v>12</v>
      </c>
      <c r="J12" t="s">
        <v>13</v>
      </c>
      <c r="K12" t="s">
        <v>15</v>
      </c>
      <c r="L12" t="s">
        <v>16</v>
      </c>
    </row>
    <row r="13" spans="1:15" x14ac:dyDescent="0.35">
      <c r="E13" t="s">
        <v>39</v>
      </c>
      <c r="I13">
        <v>1</v>
      </c>
      <c r="J13" s="2">
        <f>$B$10*(1+$B$9)^I13</f>
        <v>2463501200</v>
      </c>
      <c r="K13">
        <f>1/(1+$B$6)^I13</f>
        <v>0.77521182663162702</v>
      </c>
      <c r="L13" s="2">
        <f>J13* K13</f>
        <v>1909735265.1612051</v>
      </c>
    </row>
    <row r="14" spans="1:15" x14ac:dyDescent="0.35">
      <c r="E14" t="s">
        <v>83</v>
      </c>
      <c r="I14">
        <v>2</v>
      </c>
      <c r="J14" s="2">
        <f t="shared" ref="J14:J17" si="0">$B$10*(1+$B$9)^I14</f>
        <v>4273829691.8319998</v>
      </c>
      <c r="K14">
        <f t="shared" ref="K14:K17" si="1">1/(1+$B$6)^I14</f>
        <v>0.60095337614954381</v>
      </c>
      <c r="L14" s="2">
        <f t="shared" ref="L14:L15" si="2">J14* K14</f>
        <v>2568372382.3946047</v>
      </c>
    </row>
    <row r="15" spans="1:15" x14ac:dyDescent="0.35">
      <c r="E15" t="s">
        <v>253</v>
      </c>
      <c r="I15">
        <v>3</v>
      </c>
      <c r="J15" s="2">
        <f t="shared" si="0"/>
        <v>7414496179.1716623</v>
      </c>
      <c r="K15">
        <f t="shared" si="1"/>
        <v>0.46586616444533113</v>
      </c>
      <c r="L15" s="2">
        <f t="shared" si="2"/>
        <v>3454162896.285265</v>
      </c>
    </row>
    <row r="16" spans="1:15" x14ac:dyDescent="0.35">
      <c r="E16" t="s">
        <v>254</v>
      </c>
      <c r="I16">
        <v>4</v>
      </c>
      <c r="J16" s="2">
        <f t="shared" si="0"/>
        <v>12863112841.397749</v>
      </c>
      <c r="K16">
        <f t="shared" si="1"/>
        <v>0.36114496030553511</v>
      </c>
      <c r="L16" s="2">
        <f t="shared" ref="L16:L17" si="3">J16* K16</f>
        <v>4645448376.5122089</v>
      </c>
    </row>
    <row r="17" spans="5:12" x14ac:dyDescent="0.35">
      <c r="E17" t="s">
        <v>255</v>
      </c>
      <c r="I17">
        <v>5</v>
      </c>
      <c r="J17" s="2">
        <f t="shared" si="0"/>
        <v>22315699944.027294</v>
      </c>
      <c r="K17">
        <f t="shared" si="1"/>
        <v>0.27996384435726029</v>
      </c>
      <c r="L17" s="2">
        <f t="shared" si="3"/>
        <v>6247589145.8529797</v>
      </c>
    </row>
    <row r="18" spans="5:12" x14ac:dyDescent="0.35">
      <c r="E18" t="s">
        <v>40</v>
      </c>
    </row>
    <row r="19" spans="5:12" x14ac:dyDescent="0.35">
      <c r="K19" t="s">
        <v>17</v>
      </c>
      <c r="L19" s="2">
        <f>J17*(1+$B$11)</f>
        <v>22985170942.348114</v>
      </c>
    </row>
    <row r="20" spans="5:12" x14ac:dyDescent="0.35">
      <c r="K20" t="s">
        <v>18</v>
      </c>
      <c r="L20" s="2">
        <f>L19/($B$6-$B$11)</f>
        <v>88414705321.18364</v>
      </c>
    </row>
    <row r="21" spans="5:12" x14ac:dyDescent="0.35">
      <c r="E21" t="s">
        <v>35</v>
      </c>
      <c r="K21" t="s">
        <v>19</v>
      </c>
      <c r="L21" s="2">
        <f>L20*(1/(1+$B$6)^I17)</f>
        <v>24752920799.432892</v>
      </c>
    </row>
    <row r="23" spans="5:12" x14ac:dyDescent="0.35">
      <c r="K23" t="s">
        <v>20</v>
      </c>
      <c r="L23" s="2">
        <f>SUM(L13:L17)</f>
        <v>18825308066.206261</v>
      </c>
    </row>
    <row r="24" spans="5:12" x14ac:dyDescent="0.35">
      <c r="K24" t="s">
        <v>21</v>
      </c>
      <c r="L24" s="2">
        <f>L23+L21</f>
        <v>43578228865.639153</v>
      </c>
    </row>
    <row r="25" spans="5:12" x14ac:dyDescent="0.35">
      <c r="K25" t="s">
        <v>22</v>
      </c>
      <c r="L25">
        <f>L24/$B$2</f>
        <v>170.68478232933441</v>
      </c>
    </row>
    <row r="26" spans="5:12" x14ac:dyDescent="0.35">
      <c r="K26" t="s">
        <v>23</v>
      </c>
      <c r="L26" s="3">
        <f>(L25-$B$3)/$B$3</f>
        <v>1940.8063973758183</v>
      </c>
    </row>
    <row r="27" spans="5:12" x14ac:dyDescent="0.35">
      <c r="L27" t="str">
        <f>IF(L25&gt;G13,"Undervalued","Overvalued")</f>
        <v>Undervalued</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Finalised Stock Screening</vt:lpstr>
      <vt:lpstr>PSG Wealth</vt:lpstr>
      <vt:lpstr>EXXARO</vt:lpstr>
      <vt:lpstr>Sibanye Still Water</vt:lpstr>
      <vt:lpstr>Harmony Gold</vt:lpstr>
      <vt:lpstr>Northam Platinum </vt:lpstr>
      <vt:lpstr>Anglogold Ashanti PLC</vt:lpstr>
      <vt:lpstr>Impala Platinum</vt:lpstr>
      <vt:lpstr>Astral Foods</vt:lpstr>
      <vt:lpstr>AVI Limited Class Y</vt:lpstr>
      <vt:lpstr>Tiger Brands</vt:lpstr>
      <vt:lpstr>RCL Foods</vt:lpstr>
      <vt:lpstr>Valterra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Lanet Ndebe</dc:creator>
  <cp:lastModifiedBy>Lanet Ndebe</cp:lastModifiedBy>
  <dcterms:created xsi:type="dcterms:W3CDTF">2025-12-13T20:12:27Z</dcterms:created>
  <dcterms:modified xsi:type="dcterms:W3CDTF">2026-01-11T13:30:18Z</dcterms:modified>
</cp:coreProperties>
</file>